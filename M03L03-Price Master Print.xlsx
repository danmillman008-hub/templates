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Master" sheetId="1" r:id="rId4"/>
  </sheets>
  <definedNames/>
  <calcPr/>
  <extLst>
    <ext uri="GoogleSheetsCustomDataVersion1">
      <go:sheetsCustomData xmlns:go="http://customooxmlschemas.google.com/" r:id="rId5" roundtripDataSignature="AMtx7mjUriz8oQPD+EprYxJ0I8dH+pVAw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3">
      <text>
        <t xml:space="preserve">======
ID#AAAAJj6I3yg
    (2020-05-21 15:46:18)
Insert fixed cost amount.</t>
      </text>
    </comment>
  </commentList>
  <extLst>
    <ext uri="GoogleSheetsCustomDataVersion1">
      <go:sheetsCustomData xmlns:go="http://customooxmlschemas.google.com/" r:id="rId1" roundtripDataSignature="AMtx7mh3gLqqugbBZCgXVmpak76P9852jw=="/>
    </ext>
  </extLst>
</comments>
</file>

<file path=xl/sharedStrings.xml><?xml version="1.0" encoding="utf-8"?>
<sst xmlns="http://schemas.openxmlformats.org/spreadsheetml/2006/main" count="86" uniqueCount="65">
  <si>
    <t>Price Master: Print Project</t>
  </si>
  <si>
    <t>Hourly Internal Resources</t>
  </si>
  <si>
    <t>Hourly External Resources</t>
  </si>
  <si>
    <t>Fixed Cost External Resources</t>
  </si>
  <si>
    <t>MILESTONE / TASK</t>
  </si>
  <si>
    <t>RESPONSIBLE</t>
  </si>
  <si>
    <t>Hourly Burn Rate</t>
  </si>
  <si>
    <t>People QTY</t>
  </si>
  <si>
    <t>Hours</t>
  </si>
  <si>
    <t>Total Hours</t>
  </si>
  <si>
    <t>Total Estimated Cost to Agency</t>
  </si>
  <si>
    <t>Who?</t>
  </si>
  <si>
    <t>Hourly Rate</t>
  </si>
  <si>
    <t>Project Kickoff Meeting</t>
  </si>
  <si>
    <t>Client &amp; Agency</t>
  </si>
  <si>
    <t>Content Outline</t>
  </si>
  <si>
    <t>Mood Boards R1 - Delivery</t>
  </si>
  <si>
    <t>Agency</t>
  </si>
  <si>
    <t>Mood Boards R1 - Feedback</t>
  </si>
  <si>
    <t>Client</t>
  </si>
  <si>
    <t>Mood Boards R2 - Delivery</t>
  </si>
  <si>
    <t>Mood Boards R2 - Approval</t>
  </si>
  <si>
    <t>Final Content - Delivery</t>
  </si>
  <si>
    <t>Visual Design Comps R1 - Delivery</t>
  </si>
  <si>
    <t>Visual Design Comps R1 - Feedback</t>
  </si>
  <si>
    <t>Visual Design Comps R2 - Delivery</t>
  </si>
  <si>
    <t>Visual Design Comps R2 - Feedback</t>
  </si>
  <si>
    <t>Visual Design Comps R3 - Delivery</t>
  </si>
  <si>
    <t>Visual Design Comps R3 - Approval</t>
  </si>
  <si>
    <t>Press Ready File Proof - Delivery</t>
  </si>
  <si>
    <t>Press Ready File Proof - Approval</t>
  </si>
  <si>
    <t>Press Ready Files to Printer - Delivery</t>
  </si>
  <si>
    <t>Project Completion - Approval</t>
  </si>
  <si>
    <t>Final Assets Delivery</t>
  </si>
  <si>
    <t>Sub Totals</t>
  </si>
  <si>
    <t>Total Estimated Production Cost</t>
  </si>
  <si>
    <t>Variable 01: Production Cost (plus markup)</t>
  </si>
  <si>
    <t>Profit Margin Percentage</t>
  </si>
  <si>
    <t>Client Price Options</t>
  </si>
  <si>
    <t>Production Cost</t>
  </si>
  <si>
    <t>Agency Profit $</t>
  </si>
  <si>
    <t>Agency Profit %</t>
  </si>
  <si>
    <t>Agency's Billable Hourly Rate x Total Estimated Hours</t>
  </si>
  <si>
    <t>Agency's Production Cost with 25% Markup</t>
  </si>
  <si>
    <t>Agency's Production Cost with 30% Markup</t>
  </si>
  <si>
    <t>Agency's Production Cost with 35% Markup</t>
  </si>
  <si>
    <t>Agency's Production Cost with 40% Markup</t>
  </si>
  <si>
    <t>Agency's Production Cost with 45% Markup</t>
  </si>
  <si>
    <t>Agency's Production Cost with 50% Markup</t>
  </si>
  <si>
    <t>Agency's Production Cost with 55% Markup</t>
  </si>
  <si>
    <t>Agency's Production Cost with 60% Markup</t>
  </si>
  <si>
    <t>Agency's Production Cost with 65% Markup</t>
  </si>
  <si>
    <t>Agency's Production Cost with 70% Markup</t>
  </si>
  <si>
    <t>Agency's Production Cost with 75% Markup</t>
  </si>
  <si>
    <t>Variable 02: Market Value</t>
  </si>
  <si>
    <t>Estimated Price that Other Agencies (like me) Charge</t>
  </si>
  <si>
    <t>Average Price of Similar Project We Have Completed</t>
  </si>
  <si>
    <t>Variable 03: Client Budget</t>
  </si>
  <si>
    <t>Estimated Client Budget</t>
  </si>
  <si>
    <t>Phases Breakdown</t>
  </si>
  <si>
    <t>Phase Prices</t>
  </si>
  <si>
    <t>Phase 1: Research &amp; Concepting</t>
  </si>
  <si>
    <t>Phase 2: Visual Design</t>
  </si>
  <si>
    <t>Phase 3: Pre-press Production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</si>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</sst>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</font>
    <font>
      <b/>
      <sz val="18.0"/>
      <color rgb="FF000000"/>
      <name val="Arial"/>
    </font>
    <font>
      <color rgb="FF434343"/>
      <name val="Arial"/>
    </font>
    <font>
      <color theme="1"/>
      <name val="Arial"/>
    </font>
    <font>
      <b/>
      <color rgb="FFF3F3F3"/>
      <name val="Arial"/>
    </font>
    <font>
      <b/>
      <sz val="12.0"/>
      <color rgb="FF000000"/>
      <name val="Arial"/>
    </font>
    <font>
      <b/>
      <color rgb="FFF1C232"/>
      <name val="Arial"/>
    </font>
    <font>
      <b/>
      <color rgb="FF000000"/>
      <name val="Arial"/>
    </font>
    <font>
      <name val="Arial"/>
    </font>
    <font>
      <b/>
      <color rgb="FFFFFFFF"/>
      <name val="Arial"/>
    </font>
    <font>
      <b/>
      <color theme="1"/>
      <name val="Arial"/>
    </font>
    <font>
      <b/>
      <sz val="12.0"/>
      <name val="Arial"/>
    </font>
    <font>
      <b/>
      <sz val="12.0"/>
      <color theme="1"/>
      <name val="Arial"/>
    </font>
    <font>
      <b/>
      <sz val="12.0"/>
      <color rgb="FFF1C232"/>
      <name val="Arial"/>
    </font>
    <font>
      <b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C627"/>
        <bgColor rgb="FFFFC627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horizontal="left" shrinkToFit="0" wrapText="1"/>
    </xf>
    <xf borderId="0" fillId="0" fontId="3" numFmtId="0" xfId="0" applyFont="1"/>
    <xf borderId="0" fillId="3" fontId="4" numFmtId="0" xfId="0" applyAlignment="1" applyFill="1" applyFont="1">
      <alignment shrinkToFit="0" wrapText="1"/>
    </xf>
    <xf borderId="0" fillId="4" fontId="5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6" fontId="5" numFmtId="0" xfId="0" applyAlignment="1" applyFill="1" applyFont="1">
      <alignment shrinkToFit="0" wrapText="1"/>
    </xf>
    <xf borderId="0" fillId="3" fontId="6" numFmtId="0" xfId="0" applyAlignment="1" applyFont="1">
      <alignment shrinkToFit="0" wrapText="1"/>
    </xf>
    <xf borderId="0" fillId="3" fontId="6" numFmtId="0" xfId="0" applyAlignment="1" applyFont="1">
      <alignment horizontal="left" shrinkToFit="0" wrapText="1"/>
    </xf>
    <xf borderId="0" fillId="7" fontId="7" numFmtId="0" xfId="0" applyAlignment="1" applyFill="1" applyFont="1">
      <alignment horizontal="right" shrinkToFit="0" wrapText="1"/>
    </xf>
    <xf borderId="0" fillId="7" fontId="7" numFmtId="0" xfId="0" applyAlignment="1" applyFont="1">
      <alignment horizontal="right" readingOrder="0" shrinkToFit="0" wrapText="1"/>
    </xf>
    <xf borderId="0" fillId="8" fontId="7" numFmtId="0" xfId="0" applyAlignment="1" applyFill="1" applyFont="1">
      <alignment horizontal="right" shrinkToFit="0" wrapText="1"/>
    </xf>
    <xf borderId="0" fillId="8" fontId="7" numFmtId="0" xfId="0" applyAlignment="1" applyFont="1">
      <alignment horizontal="right" readingOrder="0" shrinkToFit="0" wrapText="1"/>
    </xf>
    <xf borderId="0" fillId="9" fontId="7" numFmtId="0" xfId="0" applyAlignment="1" applyFill="1" applyFont="1">
      <alignment horizontal="right" shrinkToFit="0" wrapText="1"/>
    </xf>
    <xf borderId="0" fillId="10" fontId="8" numFmtId="0" xfId="0" applyAlignment="1" applyFill="1" applyFont="1">
      <alignment vertical="bottom"/>
    </xf>
    <xf borderId="0" fillId="11" fontId="8" numFmtId="164" xfId="0" applyFill="1" applyFont="1" applyNumberFormat="1"/>
    <xf borderId="0" fillId="11" fontId="8" numFmtId="0" xfId="0" applyFont="1"/>
    <xf borderId="0" fillId="10" fontId="3" numFmtId="0" xfId="0" applyFont="1"/>
    <xf borderId="0" fillId="10" fontId="3" numFmtId="164" xfId="0" applyFont="1" applyNumberFormat="1"/>
    <xf borderId="0" fillId="11" fontId="8" numFmtId="0" xfId="0" applyAlignment="1" applyFont="1">
      <alignment shrinkToFit="0" vertical="top" wrapText="1"/>
    </xf>
    <xf borderId="0" fillId="11" fontId="8" numFmtId="164" xfId="0" applyAlignment="1" applyFont="1" applyNumberFormat="1">
      <alignment shrinkToFit="0" vertical="top" wrapText="1"/>
    </xf>
    <xf borderId="0" fillId="10" fontId="8" numFmtId="0" xfId="0" applyFont="1"/>
    <xf borderId="0" fillId="10" fontId="8" numFmtId="0" xfId="0" applyAlignment="1" applyFont="1">
      <alignment readingOrder="0" vertical="bottom"/>
    </xf>
    <xf borderId="0" fillId="11" fontId="8" numFmtId="0" xfId="0" applyAlignment="1" applyFont="1">
      <alignment shrinkToFit="0" wrapText="1"/>
    </xf>
    <xf borderId="0" fillId="12" fontId="7" numFmtId="0" xfId="0" applyAlignment="1" applyFill="1" applyFont="1">
      <alignment horizontal="right" shrinkToFit="0" wrapText="1"/>
    </xf>
    <xf borderId="0" fillId="12" fontId="9" numFmtId="0" xfId="0" applyAlignment="1" applyFont="1">
      <alignment horizontal="right" shrinkToFit="0" wrapText="1"/>
    </xf>
    <xf borderId="0" fillId="4" fontId="9" numFmtId="0" xfId="0" applyAlignment="1" applyFont="1">
      <alignment horizontal="right" shrinkToFit="0" wrapText="1"/>
    </xf>
    <xf borderId="0" fillId="4" fontId="10" numFmtId="0" xfId="0" applyAlignment="1" applyFont="1">
      <alignment horizontal="right" shrinkToFit="0" wrapText="1"/>
    </xf>
    <xf borderId="0" fillId="4" fontId="10" numFmtId="164" xfId="0" applyAlignment="1" applyFont="1" applyNumberFormat="1">
      <alignment horizontal="right" shrinkToFit="0" wrapText="1"/>
    </xf>
    <xf borderId="0" fillId="8" fontId="8" numFmtId="0" xfId="0" applyAlignment="1" applyFont="1">
      <alignment horizontal="left" shrinkToFit="0" wrapText="1"/>
    </xf>
    <xf borderId="0" fillId="8" fontId="10" numFmtId="0" xfId="0" applyAlignment="1" applyFont="1">
      <alignment horizontal="right" shrinkToFit="0" wrapText="1"/>
    </xf>
    <xf borderId="0" fillId="8" fontId="10" numFmtId="164" xfId="0" applyAlignment="1" applyFont="1" applyNumberFormat="1">
      <alignment horizontal="right" shrinkToFit="0" wrapText="1"/>
    </xf>
    <xf borderId="0" fillId="9" fontId="8" numFmtId="0" xfId="0" applyAlignment="1" applyFont="1">
      <alignment horizontal="left" shrinkToFit="0" wrapText="1"/>
    </xf>
    <xf borderId="0" fillId="9" fontId="10" numFmtId="164" xfId="0" applyAlignment="1" applyFont="1" applyNumberFormat="1">
      <alignment horizontal="right" shrinkToFit="0" wrapText="1"/>
    </xf>
    <xf borderId="0" fillId="13" fontId="11" numFmtId="0" xfId="0" applyAlignment="1" applyFill="1" applyFont="1">
      <alignment shrinkToFit="0" wrapText="1"/>
    </xf>
    <xf borderId="0" fillId="14" fontId="12" numFmtId="164" xfId="0" applyAlignment="1" applyFill="1" applyFont="1" applyNumberFormat="1">
      <alignment horizontal="right" shrinkToFit="0" wrapText="1"/>
    </xf>
    <xf borderId="0" fillId="15" fontId="8" numFmtId="0" xfId="0" applyAlignment="1" applyFill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shrinkToFit="0" wrapText="1"/>
    </xf>
    <xf borderId="0" fillId="3" fontId="13" numFmtId="0" xfId="0" applyAlignment="1" applyFont="1">
      <alignment shrinkToFit="0" wrapText="1"/>
    </xf>
    <xf borderId="0" fillId="4" fontId="7" numFmtId="0" xfId="0" applyAlignment="1" applyFont="1">
      <alignment horizontal="right" shrinkToFit="0" vertical="bottom" wrapText="1"/>
    </xf>
    <xf borderId="0" fillId="6" fontId="7" numFmtId="0" xfId="0" applyAlignment="1" applyFont="1">
      <alignment horizontal="right" shrinkToFit="0" vertical="bottom" wrapText="1"/>
    </xf>
    <xf borderId="0" fillId="13" fontId="7" numFmtId="0" xfId="0" applyAlignment="1" applyFont="1">
      <alignment horizontal="right" shrinkToFit="0" vertical="bottom" wrapText="1"/>
    </xf>
    <xf borderId="0" fillId="12" fontId="14" numFmtId="0" xfId="0" applyAlignment="1" applyFont="1">
      <alignment horizontal="right" vertical="bottom"/>
    </xf>
    <xf borderId="0" fillId="0" fontId="14" numFmtId="0" xfId="0" applyAlignment="1" applyFont="1">
      <alignment shrinkToFit="0" wrapText="1"/>
    </xf>
    <xf borderId="0" fillId="7" fontId="14" numFmtId="9" xfId="0" applyFont="1" applyNumberFormat="1"/>
    <xf borderId="0" fillId="9" fontId="10" numFmtId="164" xfId="0" applyAlignment="1" applyFont="1" applyNumberFormat="1">
      <alignment horizontal="right" vertical="bottom"/>
    </xf>
    <xf borderId="0" fillId="16" fontId="7" numFmtId="164" xfId="0" applyAlignment="1" applyFill="1" applyFont="1" applyNumberFormat="1">
      <alignment horizontal="right" vertical="bottom"/>
    </xf>
    <xf borderId="0" fillId="10" fontId="10" numFmtId="164" xfId="0" applyAlignment="1" applyFont="1" applyNumberFormat="1">
      <alignment vertical="bottom"/>
    </xf>
    <xf borderId="0" fillId="10" fontId="7" numFmtId="9" xfId="0" applyAlignment="1" applyFont="1" applyNumberFormat="1">
      <alignment horizontal="right" vertical="bottom"/>
    </xf>
    <xf borderId="0" fillId="3" fontId="8" numFmtId="0" xfId="0" applyFont="1"/>
    <xf borderId="0" fillId="15" fontId="14" numFmtId="164" xfId="0" applyAlignment="1" applyFont="1" applyNumberFormat="1">
      <alignment horizontal="right" vertical="bottom"/>
    </xf>
    <xf borderId="0" fillId="15" fontId="7" numFmtId="164" xfId="0" applyAlignment="1" applyFont="1" applyNumberFormat="1">
      <alignment horizontal="right" vertical="bottom"/>
    </xf>
    <xf borderId="0" fillId="15" fontId="8" numFmtId="164" xfId="0" applyAlignment="1" applyFont="1" applyNumberFormat="1">
      <alignment vertical="bottom"/>
    </xf>
    <xf borderId="0" fillId="15" fontId="7" numFmtId="10" xfId="0" applyAlignment="1" applyFont="1" applyNumberFormat="1">
      <alignment horizontal="right" vertical="bottom"/>
    </xf>
    <xf borderId="0" fillId="6" fontId="14" numFmtId="0" xfId="0" applyAlignment="1" applyFont="1">
      <alignment shrinkToFit="0" wrapText="1"/>
    </xf>
    <xf borderId="0" fillId="9" fontId="14" numFmtId="164" xfId="0" applyAlignment="1" applyFont="1" applyNumberFormat="1">
      <alignment horizontal="right" vertical="bottom"/>
    </xf>
    <xf borderId="0" fillId="15" fontId="8" numFmtId="0" xfId="0" applyAlignment="1" applyFont="1">
      <alignment shrinkToFit="0" wrapText="1"/>
    </xf>
    <xf borderId="0" fillId="15" fontId="8" numFmtId="0" xfId="0" applyFont="1"/>
    <xf borderId="0" fillId="6" fontId="14" numFmtId="0" xfId="0" applyFont="1"/>
    <xf borderId="0" fillId="15" fontId="8" numFmtId="0" xfId="0" applyAlignment="1" applyFont="1">
      <alignment vertical="bottom"/>
    </xf>
    <xf borderId="0" fillId="3" fontId="6" numFmtId="0" xfId="0" applyAlignment="1" applyFont="1">
      <alignment horizontal="right" vertical="bottom"/>
    </xf>
    <xf borderId="0" fillId="17" fontId="14" numFmtId="164" xfId="0" applyAlignment="1" applyFill="1" applyFont="1" applyNumberFormat="1">
      <alignment horizontal="right" shrinkToFit="0" wrapText="1"/>
    </xf>
    <xf borderId="0" fillId="12" fontId="10" numFmtId="164" xfId="0" applyAlignment="1" applyFont="1" applyNumberFormat="1">
      <alignment horizontal="right" shrinkToFit="0" wrapText="1"/>
    </xf>
    <xf borderId="0" fillId="10" fontId="7" numFmtId="0" xfId="0" applyAlignment="1" applyFont="1">
      <alignment horizontal="right" shrinkToFit="0" wrapText="1"/>
    </xf>
    <xf borderId="0" fillId="10" fontId="14" numFmtId="164" xfId="0" applyAlignment="1" applyFont="1" applyNumberFormat="1">
      <alignment horizontal="right" shrinkToFit="0" wrapText="1"/>
    </xf>
    <xf borderId="0" fillId="10" fontId="8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1.71"/>
    <col customWidth="1" min="2" max="2" width="20.29"/>
    <col customWidth="1" min="3" max="3" width="21.14"/>
    <col customWidth="1" min="4" max="4" width="18.14"/>
    <col customWidth="1" min="5" max="5" width="15.29"/>
    <col customWidth="1" min="6" max="6" width="16.86"/>
    <col customWidth="1" min="7" max="7" width="15.71"/>
    <col customWidth="1" min="8" max="8" width="13.29"/>
    <col customWidth="1" min="9" max="9" width="18.0"/>
    <col customWidth="1" min="10" max="12" width="13.29"/>
    <col customWidth="1" min="13" max="13" width="15.29"/>
    <col customWidth="1" min="14" max="14" width="13.57"/>
    <col customWidth="1" min="15" max="15" width="25.0"/>
  </cols>
  <sheetData>
    <row r="1" ht="5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/>
      <c r="B2" s="4"/>
      <c r="C2" s="5" t="s">
        <v>1</v>
      </c>
      <c r="H2" s="6" t="s">
        <v>2</v>
      </c>
      <c r="N2" s="7" t="s">
        <v>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1.5" customHeight="1">
      <c r="A3" s="8" t="s">
        <v>4</v>
      </c>
      <c r="B3" s="9" t="s">
        <v>5</v>
      </c>
      <c r="C3" s="10" t="s">
        <v>6</v>
      </c>
      <c r="D3" s="10" t="s">
        <v>7</v>
      </c>
      <c r="E3" s="10" t="s">
        <v>8</v>
      </c>
      <c r="F3" s="11" t="s">
        <v>9</v>
      </c>
      <c r="G3" s="10" t="s">
        <v>10</v>
      </c>
      <c r="H3" s="12" t="s">
        <v>11</v>
      </c>
      <c r="I3" s="12" t="s">
        <v>12</v>
      </c>
      <c r="J3" s="12" t="s">
        <v>7</v>
      </c>
      <c r="K3" s="12" t="s">
        <v>8</v>
      </c>
      <c r="L3" s="13" t="s">
        <v>9</v>
      </c>
      <c r="M3" s="12" t="s">
        <v>10</v>
      </c>
      <c r="N3" s="14" t="s">
        <v>11</v>
      </c>
      <c r="O3" s="14" t="s"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5" t="s">
        <v>13</v>
      </c>
      <c r="B4" s="15" t="s">
        <v>14</v>
      </c>
      <c r="C4" s="16">
        <v>60.0</v>
      </c>
      <c r="D4" s="17">
        <v>0.0</v>
      </c>
      <c r="E4" s="17">
        <v>0.0</v>
      </c>
      <c r="F4" s="18">
        <f>D4*E4</f>
        <v>0</v>
      </c>
      <c r="G4" s="19">
        <f t="shared" ref="G4:G21" si="1">C4 * (D4 * E4)</f>
        <v>0</v>
      </c>
      <c r="H4" s="16"/>
      <c r="I4" s="16">
        <v>0.0</v>
      </c>
      <c r="J4" s="17">
        <v>0.0</v>
      </c>
      <c r="K4" s="17">
        <v>0.0</v>
      </c>
      <c r="L4" s="18">
        <f t="shared" ref="L4:L21" si="2">J4*K4</f>
        <v>0</v>
      </c>
      <c r="M4" s="19">
        <f t="shared" ref="M4:M21" si="3">I4 * (J4 * K4)</f>
        <v>0</v>
      </c>
      <c r="N4" s="20"/>
      <c r="O4" s="21">
        <v>0.0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5" t="s">
        <v>15</v>
      </c>
      <c r="B5" s="15" t="s">
        <v>14</v>
      </c>
      <c r="C5" s="16">
        <v>60.0</v>
      </c>
      <c r="D5" s="17">
        <v>0.0</v>
      </c>
      <c r="E5" s="17">
        <v>0.0</v>
      </c>
      <c r="F5" s="22">
        <v>0.0</v>
      </c>
      <c r="G5" s="19">
        <f t="shared" si="1"/>
        <v>0</v>
      </c>
      <c r="H5" s="17"/>
      <c r="I5" s="16">
        <v>0.0</v>
      </c>
      <c r="J5" s="17">
        <v>0.0</v>
      </c>
      <c r="K5" s="17">
        <v>0.0</v>
      </c>
      <c r="L5" s="18">
        <f t="shared" si="2"/>
        <v>0</v>
      </c>
      <c r="M5" s="19">
        <f t="shared" si="3"/>
        <v>0</v>
      </c>
      <c r="N5" s="20"/>
      <c r="O5" s="21">
        <v>0.0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3" t="s">
        <v>16</v>
      </c>
      <c r="B6" s="15" t="s">
        <v>17</v>
      </c>
      <c r="C6" s="16">
        <v>60.0</v>
      </c>
      <c r="D6" s="17">
        <v>0.0</v>
      </c>
      <c r="E6" s="17">
        <v>0.0</v>
      </c>
      <c r="F6" s="18">
        <f t="shared" ref="F6:F21" si="4">D6*E6</f>
        <v>0</v>
      </c>
      <c r="G6" s="19">
        <f t="shared" si="1"/>
        <v>0</v>
      </c>
      <c r="H6" s="17"/>
      <c r="I6" s="16">
        <v>0.0</v>
      </c>
      <c r="J6" s="17">
        <v>0.0</v>
      </c>
      <c r="K6" s="17">
        <v>0.0</v>
      </c>
      <c r="L6" s="18">
        <f t="shared" si="2"/>
        <v>0</v>
      </c>
      <c r="M6" s="19">
        <f t="shared" si="3"/>
        <v>0</v>
      </c>
      <c r="N6" s="20"/>
      <c r="O6" s="21">
        <v>0.0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3" t="s">
        <v>18</v>
      </c>
      <c r="B7" s="15" t="s">
        <v>19</v>
      </c>
      <c r="C7" s="16">
        <v>60.0</v>
      </c>
      <c r="D7" s="17">
        <v>0.0</v>
      </c>
      <c r="E7" s="17">
        <v>0.0</v>
      </c>
      <c r="F7" s="18">
        <f t="shared" si="4"/>
        <v>0</v>
      </c>
      <c r="G7" s="19">
        <f t="shared" si="1"/>
        <v>0</v>
      </c>
      <c r="H7" s="17"/>
      <c r="I7" s="16">
        <v>0.0</v>
      </c>
      <c r="J7" s="17">
        <v>0.0</v>
      </c>
      <c r="K7" s="17">
        <v>0.0</v>
      </c>
      <c r="L7" s="18">
        <f t="shared" si="2"/>
        <v>0</v>
      </c>
      <c r="M7" s="19">
        <f t="shared" si="3"/>
        <v>0</v>
      </c>
      <c r="N7" s="20"/>
      <c r="O7" s="21">
        <v>0.0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20</v>
      </c>
      <c r="B8" s="15" t="s">
        <v>17</v>
      </c>
      <c r="C8" s="16">
        <v>60.0</v>
      </c>
      <c r="D8" s="17">
        <v>0.0</v>
      </c>
      <c r="E8" s="17">
        <v>0.0</v>
      </c>
      <c r="F8" s="18">
        <f t="shared" si="4"/>
        <v>0</v>
      </c>
      <c r="G8" s="19">
        <f t="shared" si="1"/>
        <v>0</v>
      </c>
      <c r="H8" s="17"/>
      <c r="I8" s="16">
        <v>0.0</v>
      </c>
      <c r="J8" s="17">
        <v>0.0</v>
      </c>
      <c r="K8" s="17">
        <v>0.0</v>
      </c>
      <c r="L8" s="18">
        <f t="shared" si="2"/>
        <v>0</v>
      </c>
      <c r="M8" s="19">
        <f t="shared" si="3"/>
        <v>0</v>
      </c>
      <c r="N8" s="20"/>
      <c r="O8" s="21">
        <v>0.0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3" t="s">
        <v>21</v>
      </c>
      <c r="B9" s="15" t="s">
        <v>19</v>
      </c>
      <c r="C9" s="16">
        <v>60.0</v>
      </c>
      <c r="D9" s="17">
        <v>0.0</v>
      </c>
      <c r="E9" s="17">
        <v>0.0</v>
      </c>
      <c r="F9" s="18">
        <f t="shared" si="4"/>
        <v>0</v>
      </c>
      <c r="G9" s="19">
        <f t="shared" si="1"/>
        <v>0</v>
      </c>
      <c r="H9" s="17"/>
      <c r="I9" s="16">
        <v>0.0</v>
      </c>
      <c r="J9" s="17">
        <v>0.0</v>
      </c>
      <c r="K9" s="17">
        <v>0.0</v>
      </c>
      <c r="L9" s="18">
        <f t="shared" si="2"/>
        <v>0</v>
      </c>
      <c r="M9" s="19">
        <f t="shared" si="3"/>
        <v>0</v>
      </c>
      <c r="N9" s="20"/>
      <c r="O9" s="21">
        <v>0.0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5" t="s">
        <v>22</v>
      </c>
      <c r="B10" s="15" t="s">
        <v>19</v>
      </c>
      <c r="C10" s="16">
        <v>60.0</v>
      </c>
      <c r="D10" s="17">
        <v>0.0</v>
      </c>
      <c r="E10" s="17">
        <v>0.0</v>
      </c>
      <c r="F10" s="18">
        <f t="shared" si="4"/>
        <v>0</v>
      </c>
      <c r="G10" s="19">
        <f t="shared" si="1"/>
        <v>0</v>
      </c>
      <c r="H10" s="17"/>
      <c r="I10" s="16">
        <v>0.0</v>
      </c>
      <c r="J10" s="17">
        <v>0.0</v>
      </c>
      <c r="K10" s="17">
        <v>0.0</v>
      </c>
      <c r="L10" s="18">
        <f t="shared" si="2"/>
        <v>0</v>
      </c>
      <c r="M10" s="19">
        <f t="shared" si="3"/>
        <v>0</v>
      </c>
      <c r="N10" s="20"/>
      <c r="O10" s="21">
        <v>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5" t="s">
        <v>23</v>
      </c>
      <c r="B11" s="15" t="s">
        <v>17</v>
      </c>
      <c r="C11" s="16">
        <v>60.0</v>
      </c>
      <c r="D11" s="17">
        <v>0.0</v>
      </c>
      <c r="E11" s="17">
        <v>0.0</v>
      </c>
      <c r="F11" s="18">
        <f t="shared" si="4"/>
        <v>0</v>
      </c>
      <c r="G11" s="19">
        <f t="shared" si="1"/>
        <v>0</v>
      </c>
      <c r="H11" s="17"/>
      <c r="I11" s="16">
        <v>0.0</v>
      </c>
      <c r="J11" s="17">
        <v>0.0</v>
      </c>
      <c r="K11" s="17">
        <v>0.0</v>
      </c>
      <c r="L11" s="18">
        <f t="shared" si="2"/>
        <v>0</v>
      </c>
      <c r="M11" s="19">
        <f t="shared" si="3"/>
        <v>0</v>
      </c>
      <c r="N11" s="20"/>
      <c r="O11" s="21">
        <v>0.0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5" t="s">
        <v>24</v>
      </c>
      <c r="B12" s="15" t="s">
        <v>19</v>
      </c>
      <c r="C12" s="16">
        <v>60.0</v>
      </c>
      <c r="D12" s="17">
        <v>0.0</v>
      </c>
      <c r="E12" s="17">
        <v>0.0</v>
      </c>
      <c r="F12" s="18">
        <f t="shared" si="4"/>
        <v>0</v>
      </c>
      <c r="G12" s="19">
        <f t="shared" si="1"/>
        <v>0</v>
      </c>
      <c r="H12" s="17"/>
      <c r="I12" s="16">
        <v>0.0</v>
      </c>
      <c r="J12" s="17">
        <v>0.0</v>
      </c>
      <c r="K12" s="17">
        <v>0.0</v>
      </c>
      <c r="L12" s="18">
        <f t="shared" si="2"/>
        <v>0</v>
      </c>
      <c r="M12" s="19">
        <f t="shared" si="3"/>
        <v>0</v>
      </c>
      <c r="N12" s="20"/>
      <c r="O12" s="21">
        <v>0.0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5" t="s">
        <v>25</v>
      </c>
      <c r="B13" s="15" t="s">
        <v>17</v>
      </c>
      <c r="C13" s="16">
        <v>60.0</v>
      </c>
      <c r="D13" s="17">
        <v>0.0</v>
      </c>
      <c r="E13" s="17">
        <v>0.0</v>
      </c>
      <c r="F13" s="18">
        <f t="shared" si="4"/>
        <v>0</v>
      </c>
      <c r="G13" s="19">
        <f t="shared" si="1"/>
        <v>0</v>
      </c>
      <c r="H13" s="17"/>
      <c r="I13" s="16">
        <v>0.0</v>
      </c>
      <c r="J13" s="17">
        <v>0.0</v>
      </c>
      <c r="K13" s="17">
        <v>0.0</v>
      </c>
      <c r="L13" s="18">
        <f t="shared" si="2"/>
        <v>0</v>
      </c>
      <c r="M13" s="19">
        <f t="shared" si="3"/>
        <v>0</v>
      </c>
      <c r="N13" s="20"/>
      <c r="O13" s="21">
        <v>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5" t="s">
        <v>26</v>
      </c>
      <c r="B14" s="15" t="s">
        <v>19</v>
      </c>
      <c r="C14" s="16">
        <v>60.0</v>
      </c>
      <c r="D14" s="17">
        <v>0.0</v>
      </c>
      <c r="E14" s="17">
        <v>0.0</v>
      </c>
      <c r="F14" s="18">
        <f t="shared" si="4"/>
        <v>0</v>
      </c>
      <c r="G14" s="19">
        <f t="shared" si="1"/>
        <v>0</v>
      </c>
      <c r="H14" s="17"/>
      <c r="I14" s="16">
        <v>0.0</v>
      </c>
      <c r="J14" s="17">
        <v>0.0</v>
      </c>
      <c r="K14" s="17">
        <v>0.0</v>
      </c>
      <c r="L14" s="18">
        <f t="shared" si="2"/>
        <v>0</v>
      </c>
      <c r="M14" s="19">
        <f t="shared" si="3"/>
        <v>0</v>
      </c>
      <c r="N14" s="20"/>
      <c r="O14" s="21">
        <v>0.0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5" t="s">
        <v>27</v>
      </c>
      <c r="B15" s="15" t="s">
        <v>17</v>
      </c>
      <c r="C15" s="16">
        <v>60.0</v>
      </c>
      <c r="D15" s="17">
        <v>0.0</v>
      </c>
      <c r="E15" s="17">
        <v>0.0</v>
      </c>
      <c r="F15" s="18">
        <f t="shared" si="4"/>
        <v>0</v>
      </c>
      <c r="G15" s="19">
        <f t="shared" si="1"/>
        <v>0</v>
      </c>
      <c r="H15" s="17"/>
      <c r="I15" s="16">
        <v>0.0</v>
      </c>
      <c r="J15" s="17">
        <v>0.0</v>
      </c>
      <c r="K15" s="17">
        <v>0.0</v>
      </c>
      <c r="L15" s="18">
        <f t="shared" si="2"/>
        <v>0</v>
      </c>
      <c r="M15" s="19">
        <f t="shared" si="3"/>
        <v>0</v>
      </c>
      <c r="N15" s="20"/>
      <c r="O15" s="21">
        <v>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5" t="s">
        <v>28</v>
      </c>
      <c r="B16" s="15" t="s">
        <v>19</v>
      </c>
      <c r="C16" s="16">
        <v>60.0</v>
      </c>
      <c r="D16" s="17">
        <v>0.0</v>
      </c>
      <c r="E16" s="17">
        <v>0.0</v>
      </c>
      <c r="F16" s="18">
        <f t="shared" si="4"/>
        <v>0</v>
      </c>
      <c r="G16" s="19">
        <f t="shared" si="1"/>
        <v>0</v>
      </c>
      <c r="H16" s="17"/>
      <c r="I16" s="16">
        <v>0.0</v>
      </c>
      <c r="J16" s="17">
        <v>0.0</v>
      </c>
      <c r="K16" s="17">
        <v>0.0</v>
      </c>
      <c r="L16" s="18">
        <f t="shared" si="2"/>
        <v>0</v>
      </c>
      <c r="M16" s="19">
        <f t="shared" si="3"/>
        <v>0</v>
      </c>
      <c r="N16" s="20"/>
      <c r="O16" s="21">
        <v>0.0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5" t="s">
        <v>29</v>
      </c>
      <c r="B17" s="15" t="s">
        <v>17</v>
      </c>
      <c r="C17" s="16">
        <v>60.0</v>
      </c>
      <c r="D17" s="17">
        <v>0.0</v>
      </c>
      <c r="E17" s="17">
        <v>0.0</v>
      </c>
      <c r="F17" s="18">
        <f t="shared" si="4"/>
        <v>0</v>
      </c>
      <c r="G17" s="19">
        <f t="shared" si="1"/>
        <v>0</v>
      </c>
      <c r="H17" s="17"/>
      <c r="I17" s="16">
        <v>0.0</v>
      </c>
      <c r="J17" s="17">
        <v>0.0</v>
      </c>
      <c r="K17" s="17">
        <v>0.0</v>
      </c>
      <c r="L17" s="18">
        <f t="shared" si="2"/>
        <v>0</v>
      </c>
      <c r="M17" s="19">
        <f t="shared" si="3"/>
        <v>0</v>
      </c>
      <c r="N17" s="24"/>
      <c r="O17" s="21">
        <v>0.0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5" t="s">
        <v>30</v>
      </c>
      <c r="B18" s="15" t="s">
        <v>19</v>
      </c>
      <c r="C18" s="16">
        <v>60.0</v>
      </c>
      <c r="D18" s="17">
        <v>0.0</v>
      </c>
      <c r="E18" s="17">
        <v>0.0</v>
      </c>
      <c r="F18" s="18">
        <f t="shared" si="4"/>
        <v>0</v>
      </c>
      <c r="G18" s="19">
        <f t="shared" si="1"/>
        <v>0</v>
      </c>
      <c r="H18" s="17"/>
      <c r="I18" s="16">
        <v>0.0</v>
      </c>
      <c r="J18" s="17">
        <v>0.0</v>
      </c>
      <c r="K18" s="17">
        <v>0.0</v>
      </c>
      <c r="L18" s="18">
        <f t="shared" si="2"/>
        <v>0</v>
      </c>
      <c r="M18" s="19">
        <f t="shared" si="3"/>
        <v>0</v>
      </c>
      <c r="N18" s="24"/>
      <c r="O18" s="21">
        <v>0.0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5" t="s">
        <v>31</v>
      </c>
      <c r="B19" s="15" t="s">
        <v>17</v>
      </c>
      <c r="C19" s="16">
        <v>60.0</v>
      </c>
      <c r="D19" s="17">
        <v>0.0</v>
      </c>
      <c r="E19" s="17">
        <v>0.0</v>
      </c>
      <c r="F19" s="18">
        <f t="shared" si="4"/>
        <v>0</v>
      </c>
      <c r="G19" s="19">
        <f t="shared" si="1"/>
        <v>0</v>
      </c>
      <c r="H19" s="17"/>
      <c r="I19" s="16">
        <v>0.0</v>
      </c>
      <c r="J19" s="17">
        <v>0.0</v>
      </c>
      <c r="K19" s="17">
        <v>0.0</v>
      </c>
      <c r="L19" s="18">
        <f t="shared" si="2"/>
        <v>0</v>
      </c>
      <c r="M19" s="19">
        <f t="shared" si="3"/>
        <v>0</v>
      </c>
      <c r="N19" s="24"/>
      <c r="O19" s="21">
        <v>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5" t="s">
        <v>32</v>
      </c>
      <c r="B20" s="15" t="s">
        <v>19</v>
      </c>
      <c r="C20" s="16">
        <v>60.0</v>
      </c>
      <c r="D20" s="17">
        <v>0.0</v>
      </c>
      <c r="E20" s="17">
        <v>0.0</v>
      </c>
      <c r="F20" s="18">
        <f t="shared" si="4"/>
        <v>0</v>
      </c>
      <c r="G20" s="19">
        <f t="shared" si="1"/>
        <v>0</v>
      </c>
      <c r="H20" s="17"/>
      <c r="I20" s="16">
        <v>0.0</v>
      </c>
      <c r="J20" s="17">
        <v>0.0</v>
      </c>
      <c r="K20" s="17">
        <v>0.0</v>
      </c>
      <c r="L20" s="18">
        <f t="shared" si="2"/>
        <v>0</v>
      </c>
      <c r="M20" s="19">
        <f t="shared" si="3"/>
        <v>0</v>
      </c>
      <c r="N20" s="24"/>
      <c r="O20" s="21">
        <v>0.0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 t="s">
        <v>33</v>
      </c>
      <c r="B21" s="15" t="s">
        <v>17</v>
      </c>
      <c r="C21" s="16">
        <v>60.0</v>
      </c>
      <c r="D21" s="17">
        <v>0.0</v>
      </c>
      <c r="E21" s="17">
        <v>0.0</v>
      </c>
      <c r="F21" s="18">
        <f t="shared" si="4"/>
        <v>0</v>
      </c>
      <c r="G21" s="19">
        <f t="shared" si="1"/>
        <v>0</v>
      </c>
      <c r="H21" s="17"/>
      <c r="I21" s="16">
        <v>0.0</v>
      </c>
      <c r="J21" s="17">
        <v>0.0</v>
      </c>
      <c r="K21" s="17">
        <v>0.0</v>
      </c>
      <c r="L21" s="18">
        <f t="shared" si="2"/>
        <v>0</v>
      </c>
      <c r="M21" s="19">
        <f t="shared" si="3"/>
        <v>0</v>
      </c>
      <c r="N21" s="24"/>
      <c r="O21" s="21">
        <v>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25" t="s">
        <v>34</v>
      </c>
      <c r="B22" s="26"/>
      <c r="C22" s="27"/>
      <c r="D22" s="27"/>
      <c r="E22" s="27"/>
      <c r="F22" s="28">
        <f t="shared" ref="F22:G22" si="5">SUM (F4:F21)</f>
        <v>0</v>
      </c>
      <c r="G22" s="29">
        <f t="shared" si="5"/>
        <v>0</v>
      </c>
      <c r="H22" s="30"/>
      <c r="I22" s="30"/>
      <c r="J22" s="30"/>
      <c r="K22" s="30"/>
      <c r="L22" s="31">
        <f t="shared" ref="L22:M22" si="6">SUM (L4:L21)</f>
        <v>0</v>
      </c>
      <c r="M22" s="32">
        <f t="shared" si="6"/>
        <v>0</v>
      </c>
      <c r="N22" s="33"/>
      <c r="O22" s="34">
        <f>SUM (O4:O21)</f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75" customHeight="1">
      <c r="A23" s="35" t="s">
        <v>35</v>
      </c>
      <c r="B23" s="36">
        <f>SUM(G22+M22+O22)</f>
        <v>0</v>
      </c>
      <c r="C23" s="37"/>
      <c r="D23" s="37"/>
      <c r="E23" s="37"/>
      <c r="F23" s="37"/>
      <c r="G23" s="38"/>
      <c r="H23" s="38"/>
      <c r="I23" s="38"/>
      <c r="J23" s="39"/>
      <c r="K23" s="39"/>
      <c r="L23" s="39"/>
      <c r="M23" s="39"/>
      <c r="N23" s="39"/>
      <c r="O23" s="39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40" t="s">
        <v>36</v>
      </c>
      <c r="B24" s="41" t="s">
        <v>37</v>
      </c>
      <c r="C24" s="42" t="s">
        <v>38</v>
      </c>
      <c r="D24" s="43" t="s">
        <v>39</v>
      </c>
      <c r="E24" s="44" t="s">
        <v>40</v>
      </c>
      <c r="F24" s="44" t="s">
        <v>41</v>
      </c>
      <c r="G24" s="38"/>
      <c r="H24" s="38"/>
      <c r="I24" s="38"/>
      <c r="J24" s="39"/>
      <c r="K24" s="39"/>
      <c r="L24" s="39"/>
      <c r="M24" s="39"/>
      <c r="N24" s="39"/>
      <c r="O24" s="39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5" t="s">
        <v>42</v>
      </c>
      <c r="B25" s="46">
        <v>0.0</v>
      </c>
      <c r="C25" s="47">
        <f>(B23*B25)+B23</f>
        <v>0</v>
      </c>
      <c r="D25" s="48">
        <f>B23</f>
        <v>0</v>
      </c>
      <c r="E25" s="49">
        <f t="shared" ref="E25:E36" si="7">(C25-D25)</f>
        <v>0</v>
      </c>
      <c r="F25" s="50" t="str">
        <f t="shared" ref="F25:F36" si="8">(E25 / D25)</f>
        <v>#DIV/0!</v>
      </c>
      <c r="G25" s="38"/>
      <c r="H25" s="38"/>
      <c r="I25" s="38"/>
      <c r="J25" s="39"/>
      <c r="K25" s="39"/>
      <c r="L25" s="39"/>
      <c r="M25" s="39"/>
      <c r="N25" s="39"/>
      <c r="O25" s="39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5" t="s">
        <v>43</v>
      </c>
      <c r="B26" s="46">
        <v>0.25</v>
      </c>
      <c r="C26" s="47">
        <f>(B23*B26)+B23</f>
        <v>0</v>
      </c>
      <c r="D26" s="48">
        <f>B23</f>
        <v>0</v>
      </c>
      <c r="E26" s="49">
        <f t="shared" si="7"/>
        <v>0</v>
      </c>
      <c r="F26" s="50" t="str">
        <f t="shared" si="8"/>
        <v>#DIV/0!</v>
      </c>
      <c r="G26" s="38"/>
      <c r="H26" s="38"/>
      <c r="I26" s="38"/>
      <c r="J26" s="39"/>
      <c r="K26" s="39"/>
      <c r="L26" s="39"/>
      <c r="M26" s="39"/>
      <c r="N26" s="39"/>
      <c r="O26" s="39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5" t="s">
        <v>44</v>
      </c>
      <c r="B27" s="46">
        <v>0.3</v>
      </c>
      <c r="C27" s="47">
        <f>(B23*B27)+B23</f>
        <v>0</v>
      </c>
      <c r="D27" s="48">
        <f>B23</f>
        <v>0</v>
      </c>
      <c r="E27" s="49">
        <f t="shared" si="7"/>
        <v>0</v>
      </c>
      <c r="F27" s="50" t="str">
        <f t="shared" si="8"/>
        <v>#DIV/0!</v>
      </c>
      <c r="G27" s="38"/>
      <c r="H27" s="38"/>
      <c r="I27" s="38"/>
      <c r="J27" s="39"/>
      <c r="K27" s="39"/>
      <c r="L27" s="39"/>
      <c r="M27" s="39"/>
      <c r="N27" s="39"/>
      <c r="O27" s="39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5" t="s">
        <v>45</v>
      </c>
      <c r="B28" s="46">
        <v>0.35</v>
      </c>
      <c r="C28" s="47">
        <f>(B23*B28)+B23</f>
        <v>0</v>
      </c>
      <c r="D28" s="48">
        <f>B23</f>
        <v>0</v>
      </c>
      <c r="E28" s="49">
        <f t="shared" si="7"/>
        <v>0</v>
      </c>
      <c r="F28" s="50" t="str">
        <f t="shared" si="8"/>
        <v>#DIV/0!</v>
      </c>
      <c r="G28" s="38"/>
      <c r="H28" s="38"/>
      <c r="I28" s="38"/>
      <c r="J28" s="39"/>
      <c r="K28" s="39"/>
      <c r="L28" s="39"/>
      <c r="M28" s="39"/>
      <c r="N28" s="39"/>
      <c r="O28" s="3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5" t="s">
        <v>46</v>
      </c>
      <c r="B29" s="46">
        <v>0.4</v>
      </c>
      <c r="C29" s="47">
        <f>(B23*B29)+B23</f>
        <v>0</v>
      </c>
      <c r="D29" s="48">
        <f>B23</f>
        <v>0</v>
      </c>
      <c r="E29" s="49">
        <f t="shared" si="7"/>
        <v>0</v>
      </c>
      <c r="F29" s="50" t="str">
        <f t="shared" si="8"/>
        <v>#DIV/0!</v>
      </c>
      <c r="G29" s="38"/>
      <c r="H29" s="38"/>
      <c r="I29" s="38"/>
      <c r="J29" s="39"/>
      <c r="K29" s="39"/>
      <c r="L29" s="39"/>
      <c r="M29" s="39"/>
      <c r="N29" s="39"/>
      <c r="O29" s="3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5" t="s">
        <v>47</v>
      </c>
      <c r="B30" s="46">
        <v>0.45</v>
      </c>
      <c r="C30" s="47">
        <f>(B23*B30)+B23</f>
        <v>0</v>
      </c>
      <c r="D30" s="48">
        <f>B23</f>
        <v>0</v>
      </c>
      <c r="E30" s="49">
        <f t="shared" si="7"/>
        <v>0</v>
      </c>
      <c r="F30" s="50" t="str">
        <f t="shared" si="8"/>
        <v>#DIV/0!</v>
      </c>
      <c r="G30" s="38"/>
      <c r="H30" s="38"/>
      <c r="I30" s="38"/>
      <c r="J30" s="39"/>
      <c r="K30" s="39"/>
      <c r="L30" s="39"/>
      <c r="M30" s="39"/>
      <c r="N30" s="39"/>
      <c r="O30" s="39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5" t="s">
        <v>48</v>
      </c>
      <c r="B31" s="46">
        <v>0.5</v>
      </c>
      <c r="C31" s="47">
        <f>(B23*B31)+B23</f>
        <v>0</v>
      </c>
      <c r="D31" s="48">
        <f>B23</f>
        <v>0</v>
      </c>
      <c r="E31" s="49">
        <f t="shared" si="7"/>
        <v>0</v>
      </c>
      <c r="F31" s="50" t="str">
        <f t="shared" si="8"/>
        <v>#DIV/0!</v>
      </c>
      <c r="G31" s="38"/>
      <c r="H31" s="38"/>
      <c r="I31" s="38"/>
      <c r="J31" s="39"/>
      <c r="K31" s="39"/>
      <c r="L31" s="39"/>
      <c r="M31" s="39"/>
      <c r="N31" s="39"/>
      <c r="O31" s="39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5" t="s">
        <v>49</v>
      </c>
      <c r="B32" s="46">
        <v>0.55</v>
      </c>
      <c r="C32" s="47">
        <f>(B23*B32)+B23</f>
        <v>0</v>
      </c>
      <c r="D32" s="48">
        <f>B23</f>
        <v>0</v>
      </c>
      <c r="E32" s="49">
        <f t="shared" si="7"/>
        <v>0</v>
      </c>
      <c r="F32" s="50" t="str">
        <f t="shared" si="8"/>
        <v>#DIV/0!</v>
      </c>
      <c r="G32" s="38"/>
      <c r="H32" s="38"/>
      <c r="I32" s="38"/>
      <c r="J32" s="39"/>
      <c r="K32" s="39"/>
      <c r="L32" s="39"/>
      <c r="M32" s="39"/>
      <c r="N32" s="39"/>
      <c r="O32" s="39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5" t="s">
        <v>50</v>
      </c>
      <c r="B33" s="46">
        <v>0.6</v>
      </c>
      <c r="C33" s="47">
        <f>(B23*B33)+B23</f>
        <v>0</v>
      </c>
      <c r="D33" s="48">
        <f>B23</f>
        <v>0</v>
      </c>
      <c r="E33" s="49">
        <f t="shared" si="7"/>
        <v>0</v>
      </c>
      <c r="F33" s="50" t="str">
        <f t="shared" si="8"/>
        <v>#DIV/0!</v>
      </c>
      <c r="G33" s="38"/>
      <c r="H33" s="38"/>
      <c r="I33" s="38"/>
      <c r="J33" s="39"/>
      <c r="K33" s="39"/>
      <c r="L33" s="39"/>
      <c r="M33" s="39"/>
      <c r="N33" s="39"/>
      <c r="O33" s="39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5" t="s">
        <v>51</v>
      </c>
      <c r="B34" s="46">
        <v>0.65</v>
      </c>
      <c r="C34" s="47">
        <f>(B23*B34)+B23</f>
        <v>0</v>
      </c>
      <c r="D34" s="48">
        <f>B23</f>
        <v>0</v>
      </c>
      <c r="E34" s="49">
        <f t="shared" si="7"/>
        <v>0</v>
      </c>
      <c r="F34" s="50" t="str">
        <f t="shared" si="8"/>
        <v>#DIV/0!</v>
      </c>
      <c r="G34" s="38"/>
      <c r="H34" s="38"/>
      <c r="I34" s="38"/>
      <c r="J34" s="39"/>
      <c r="K34" s="39"/>
      <c r="L34" s="39"/>
      <c r="M34" s="39"/>
      <c r="N34" s="39"/>
      <c r="O34" s="39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5" t="s">
        <v>52</v>
      </c>
      <c r="B35" s="46">
        <v>0.7</v>
      </c>
      <c r="C35" s="47">
        <f>(B23*B35)+B23</f>
        <v>0</v>
      </c>
      <c r="D35" s="48">
        <f>B23</f>
        <v>0</v>
      </c>
      <c r="E35" s="49">
        <f t="shared" si="7"/>
        <v>0</v>
      </c>
      <c r="F35" s="50" t="str">
        <f t="shared" si="8"/>
        <v>#DIV/0!</v>
      </c>
      <c r="G35" s="38"/>
      <c r="H35" s="38"/>
      <c r="I35" s="38"/>
      <c r="J35" s="39"/>
      <c r="K35" s="39"/>
      <c r="L35" s="39"/>
      <c r="M35" s="39"/>
      <c r="N35" s="39"/>
      <c r="O35" s="39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5" t="s">
        <v>53</v>
      </c>
      <c r="B36" s="46">
        <v>0.75</v>
      </c>
      <c r="C36" s="47">
        <f>(B23*B36)+B23</f>
        <v>0</v>
      </c>
      <c r="D36" s="48">
        <f>B23</f>
        <v>0</v>
      </c>
      <c r="E36" s="49">
        <f t="shared" si="7"/>
        <v>0</v>
      </c>
      <c r="F36" s="50" t="str">
        <f t="shared" si="8"/>
        <v>#DIV/0!</v>
      </c>
      <c r="G36" s="38"/>
      <c r="H36" s="38"/>
      <c r="I36" s="38"/>
      <c r="J36" s="39"/>
      <c r="K36" s="39"/>
      <c r="L36" s="39"/>
      <c r="M36" s="39"/>
      <c r="N36" s="39"/>
      <c r="O36" s="39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2.25" customHeight="1">
      <c r="A37" s="40" t="s">
        <v>54</v>
      </c>
      <c r="B37" s="51"/>
      <c r="C37" s="52"/>
      <c r="D37" s="53"/>
      <c r="E37" s="54"/>
      <c r="F37" s="55"/>
      <c r="G37" s="38"/>
      <c r="H37" s="38"/>
      <c r="I37" s="38"/>
      <c r="J37" s="39"/>
      <c r="K37" s="39"/>
      <c r="L37" s="39"/>
      <c r="M37" s="39"/>
      <c r="N37" s="39"/>
      <c r="O37" s="39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56" t="s">
        <v>55</v>
      </c>
      <c r="B38" s="57">
        <v>0.0</v>
      </c>
      <c r="C38" s="37"/>
      <c r="D38" s="37"/>
      <c r="E38" s="58"/>
      <c r="F38" s="58"/>
      <c r="G38" s="39"/>
      <c r="H38" s="39"/>
      <c r="I38" s="39"/>
      <c r="J38" s="39"/>
      <c r="K38" s="39"/>
      <c r="L38" s="39"/>
      <c r="M38" s="39"/>
      <c r="N38" s="39"/>
      <c r="O38" s="39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56" t="s">
        <v>56</v>
      </c>
      <c r="B39" s="57">
        <v>0.0</v>
      </c>
      <c r="C39" s="37"/>
      <c r="D39" s="37"/>
      <c r="E39" s="58"/>
      <c r="F39" s="58"/>
      <c r="G39" s="39"/>
      <c r="H39" s="39"/>
      <c r="I39" s="39"/>
      <c r="J39" s="39"/>
      <c r="K39" s="39"/>
      <c r="L39" s="39"/>
      <c r="M39" s="39"/>
      <c r="N39" s="39"/>
      <c r="O39" s="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3.0" customHeight="1">
      <c r="A40" s="40" t="s">
        <v>57</v>
      </c>
      <c r="B40" s="51"/>
      <c r="C40" s="59"/>
      <c r="D40" s="59"/>
      <c r="E40" s="59"/>
      <c r="F40" s="59"/>
      <c r="G40" s="39"/>
      <c r="H40" s="39"/>
      <c r="I40" s="39"/>
      <c r="J40" s="39"/>
      <c r="K40" s="39"/>
      <c r="L40" s="39"/>
      <c r="M40" s="39"/>
      <c r="N40" s="39"/>
      <c r="O40" s="39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60" t="s">
        <v>58</v>
      </c>
      <c r="B41" s="57">
        <v>0.0</v>
      </c>
      <c r="C41" s="59"/>
      <c r="D41" s="59"/>
      <c r="E41" s="61"/>
      <c r="F41" s="61"/>
      <c r="G41" s="38"/>
      <c r="H41" s="38"/>
      <c r="I41" s="38"/>
      <c r="J41" s="39"/>
      <c r="K41" s="39"/>
      <c r="L41" s="39"/>
      <c r="M41" s="39"/>
      <c r="N41" s="39"/>
      <c r="O41" s="39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1.5" customHeight="1">
      <c r="A42" s="40" t="s">
        <v>59</v>
      </c>
      <c r="B42" s="62" t="s">
        <v>60</v>
      </c>
      <c r="C42" s="37"/>
      <c r="D42" s="37"/>
      <c r="E42" s="37"/>
      <c r="F42" s="58"/>
      <c r="G42" s="39"/>
      <c r="H42" s="38"/>
      <c r="I42" s="38"/>
      <c r="J42" s="39"/>
      <c r="K42" s="39"/>
      <c r="L42" s="39"/>
      <c r="M42" s="39"/>
      <c r="N42" s="39"/>
      <c r="O42" s="39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3.75" customHeight="1">
      <c r="A43" s="45" t="s">
        <v>61</v>
      </c>
      <c r="B43" s="63">
        <v>0.0</v>
      </c>
      <c r="C43" s="37"/>
      <c r="D43" s="37"/>
      <c r="E43" s="37"/>
      <c r="F43" s="58"/>
      <c r="G43" s="39"/>
      <c r="H43" s="39"/>
      <c r="I43" s="39"/>
      <c r="J43" s="39"/>
      <c r="K43" s="39"/>
      <c r="L43" s="39"/>
      <c r="M43" s="39"/>
      <c r="N43" s="39"/>
      <c r="O43" s="39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3.75" customHeight="1">
      <c r="A44" s="45" t="s">
        <v>62</v>
      </c>
      <c r="B44" s="63">
        <v>0.0</v>
      </c>
      <c r="C44" s="37"/>
      <c r="D44" s="37"/>
      <c r="E44" s="37"/>
      <c r="F44" s="58"/>
      <c r="G44" s="39"/>
      <c r="H44" s="39"/>
      <c r="I44" s="39"/>
      <c r="J44" s="39"/>
      <c r="K44" s="39"/>
      <c r="L44" s="39"/>
      <c r="M44" s="39"/>
      <c r="N44" s="39"/>
      <c r="O44" s="39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3.75" customHeight="1">
      <c r="A45" s="45" t="s">
        <v>63</v>
      </c>
      <c r="B45" s="63">
        <v>0.0</v>
      </c>
      <c r="C45" s="37"/>
      <c r="D45" s="37"/>
      <c r="E45" s="37"/>
      <c r="F45" s="58"/>
      <c r="G45" s="39"/>
      <c r="H45" s="39"/>
      <c r="I45" s="39"/>
      <c r="J45" s="39"/>
      <c r="K45" s="39"/>
      <c r="L45" s="39"/>
      <c r="M45" s="39"/>
      <c r="N45" s="39"/>
      <c r="O45" s="39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3.75" customHeight="1">
      <c r="A46" s="25" t="s">
        <v>64</v>
      </c>
      <c r="B46" s="64">
        <f>SUM (B43:B45)</f>
        <v>0</v>
      </c>
      <c r="C46" s="37"/>
      <c r="D46" s="37"/>
      <c r="E46" s="37"/>
      <c r="F46" s="58"/>
      <c r="G46" s="39"/>
      <c r="H46" s="39"/>
      <c r="I46" s="39"/>
      <c r="J46" s="39"/>
      <c r="K46" s="39"/>
      <c r="L46" s="39"/>
      <c r="M46" s="39"/>
      <c r="N46" s="39"/>
      <c r="O46" s="39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65"/>
      <c r="B47" s="66"/>
      <c r="C47" s="67"/>
      <c r="D47" s="67"/>
      <c r="E47" s="38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65"/>
      <c r="B48" s="66"/>
      <c r="C48" s="67"/>
      <c r="D48" s="67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0" customHeight="1">
      <c r="A49" s="65"/>
      <c r="B49" s="66"/>
      <c r="C49" s="67"/>
      <c r="D49" s="67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65"/>
      <c r="B50" s="66"/>
      <c r="C50" s="67"/>
      <c r="D50" s="67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65"/>
      <c r="B51" s="66"/>
      <c r="C51" s="67"/>
      <c r="D51" s="67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65"/>
      <c r="B52" s="66"/>
      <c r="C52" s="67"/>
      <c r="D52" s="67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65"/>
      <c r="B53" s="66"/>
      <c r="C53" s="67"/>
      <c r="D53" s="67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65"/>
      <c r="B54" s="66"/>
      <c r="C54" s="67"/>
      <c r="D54" s="67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65"/>
      <c r="B55" s="66"/>
      <c r="C55" s="67"/>
      <c r="D55" s="67"/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65"/>
      <c r="B56" s="66"/>
      <c r="C56" s="67"/>
      <c r="D56" s="67"/>
      <c r="E56" s="38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65"/>
      <c r="B57" s="66"/>
      <c r="C57" s="67"/>
      <c r="D57" s="67"/>
      <c r="E57" s="38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65"/>
      <c r="B58" s="66"/>
      <c r="C58" s="67"/>
      <c r="D58" s="67"/>
      <c r="E58" s="38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0" customHeight="1">
      <c r="A59" s="65"/>
      <c r="B59" s="66"/>
      <c r="C59" s="67"/>
      <c r="D59" s="67"/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65"/>
      <c r="B60" s="66"/>
      <c r="C60" s="67"/>
      <c r="D60" s="67"/>
      <c r="E60" s="38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65"/>
      <c r="B61" s="66"/>
      <c r="C61" s="67"/>
      <c r="D61" s="67"/>
      <c r="E61" s="38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65"/>
      <c r="B62" s="66"/>
      <c r="C62" s="67"/>
      <c r="D62" s="67"/>
      <c r="E62" s="38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65"/>
      <c r="B63" s="66"/>
      <c r="C63" s="67"/>
      <c r="D63" s="67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65"/>
      <c r="B64" s="66"/>
      <c r="C64" s="67"/>
      <c r="D64" s="67"/>
      <c r="E64" s="38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C2:G2"/>
    <mergeCell ref="H2:M2"/>
    <mergeCell ref="N2:O2"/>
  </mergeCells>
  <drawing r:id="rId2"/>
  <legacyDrawing r:id="rId3"/>
</worksheet>
</file>