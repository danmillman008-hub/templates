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ing Master" sheetId="1" r:id="rId4"/>
  </sheets>
  <definedNames/>
  <calcPr/>
  <extLst>
    <ext uri="GoogleSheetsCustomDataVersion1">
      <go:sheetsCustomData xmlns:go="http://customooxmlschemas.google.com/" r:id="rId5" roundtripDataSignature="AMtx7mg75MsWqLtW2yIihdXZ1G3HP8gIZA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O3">
      <text>
        <t xml:space="preserve">======
ID#AAAAJjyNp1I
    (2020-05-18 16:18:06)
Insert fixed cost amount.</t>
      </text>
    </comment>
  </commentList>
  <extLst>
    <ext uri="GoogleSheetsCustomDataVersion1">
      <go:sheetsCustomData xmlns:go="http://customooxmlschemas.google.com/" r:id="rId1" roundtripDataSignature="AMtx7miMo3nPpBufXNuC4nB+k4d6bzIZqw=="/>
    </ext>
  </extLst>
</comments>
</file>

<file path=xl/sharedStrings.xml><?xml version="1.0" encoding="utf-8"?>
<sst xmlns="http://schemas.openxmlformats.org/spreadsheetml/2006/main" count="127" uniqueCount="86">
  <si>
    <t>Price Master: Digital Project</t>
  </si>
  <si>
    <t>Hourly Internal Resources</t>
  </si>
  <si>
    <t>Hourly External Resources</t>
  </si>
  <si>
    <t>Fixed Cost External Resources</t>
  </si>
  <si>
    <t>MILESTONE / TASK</t>
  </si>
  <si>
    <t>RESPONSIBLE</t>
  </si>
  <si>
    <t>Hourly Burn Rate</t>
  </si>
  <si>
    <t>People QTY</t>
  </si>
  <si>
    <t>Hours</t>
  </si>
  <si>
    <t>Total Hours</t>
  </si>
  <si>
    <t>Total Estimated Cost to Agency</t>
  </si>
  <si>
    <t>Who?</t>
  </si>
  <si>
    <t>Hourly Rate</t>
  </si>
  <si>
    <t>Project Kickoff Meeting</t>
  </si>
  <si>
    <t>Client &amp; Agency</t>
  </si>
  <si>
    <t>Sitemap - Meeting</t>
  </si>
  <si>
    <t>Sitemap - R1 Delivery</t>
  </si>
  <si>
    <t>Agency</t>
  </si>
  <si>
    <t>Sitemap - R1 Feedback</t>
  </si>
  <si>
    <t>Sitemap - R2 Delivery</t>
  </si>
  <si>
    <t>Sitemap - R2 Approval</t>
  </si>
  <si>
    <t>Content Outline - Meeting</t>
  </si>
  <si>
    <t>Client</t>
  </si>
  <si>
    <t>Content Outline - Delivery</t>
  </si>
  <si>
    <t>Mood Boards R1 - Delivery</t>
  </si>
  <si>
    <t>Mood Boards R1 - Feedback</t>
  </si>
  <si>
    <t>Mood Boards R2 - Delivery</t>
  </si>
  <si>
    <t>Mood Boards R2 - Approval</t>
  </si>
  <si>
    <t>UX Wireframes R1 - Delivery</t>
  </si>
  <si>
    <t>UX Wireframes R1 - Feedback</t>
  </si>
  <si>
    <t>UX Wireframes R2 - Delivery</t>
  </si>
  <si>
    <t>UX Wireframes R2 - Feedback</t>
  </si>
  <si>
    <t>UX Wireframes R3 - Delivery</t>
  </si>
  <si>
    <t>UX Wireframes R3 - Approval</t>
  </si>
  <si>
    <t>Design Comps R1 - Delivery</t>
  </si>
  <si>
    <t>Design Comps R1 - Feedback</t>
  </si>
  <si>
    <t>Design Comps R2 - Delivery</t>
  </si>
  <si>
    <t>Design Comps R2 - Feedback</t>
  </si>
  <si>
    <t>Design Comps R3 - Delivery</t>
  </si>
  <si>
    <t>Design Comps R3 - Approval</t>
  </si>
  <si>
    <t>Technical Specifications - Delivery</t>
  </si>
  <si>
    <t>Technical Specifications - Approval</t>
  </si>
  <si>
    <t>Development Kickoff Meeting</t>
  </si>
  <si>
    <t>Front-End Development</t>
  </si>
  <si>
    <t>Back-End Development</t>
  </si>
  <si>
    <t>Final Content - Delivery</t>
  </si>
  <si>
    <t>Content Integration</t>
  </si>
  <si>
    <t>Alpha Release - Delivery</t>
  </si>
  <si>
    <t>Alpha Release - Feedback</t>
  </si>
  <si>
    <t>Beta Release - Delivery</t>
  </si>
  <si>
    <t>Beta Release - Feedback</t>
  </si>
  <si>
    <t>Live Release - Delivery</t>
  </si>
  <si>
    <t>Project Completion - Approval</t>
  </si>
  <si>
    <t>Final Assets Delivery</t>
  </si>
  <si>
    <t>Sub Totals</t>
  </si>
  <si>
    <t>Total Estimated Production Cost</t>
  </si>
  <si>
    <t>Variable 01: Production Cost (plus markup)</t>
  </si>
  <si>
    <t>Profit Margin Percentage</t>
  </si>
  <si>
    <t>Client Price Options</t>
  </si>
  <si>
    <t>Production Cost</t>
  </si>
  <si>
    <t>Agency Profit $</t>
  </si>
  <si>
    <t>Agency Profit %</t>
  </si>
  <si>
    <t>Agency's Billable Hourly Rate x Total Estimated Hours</t>
  </si>
  <si>
    <t>Agency's Production Cost with 25% Markup</t>
  </si>
  <si>
    <t>Agency's Production Cost with 30% Markup</t>
  </si>
  <si>
    <t>Agency's Production Cost with 35% Markup</t>
  </si>
  <si>
    <t>Agency's Production Cost with 40% Markup</t>
  </si>
  <si>
    <t>Agency's Production Cost with 45% Markup</t>
  </si>
  <si>
    <t>Agency's Production Cost with 50% Markup</t>
  </si>
  <si>
    <t>Agency's Production Cost with 55% Markup</t>
  </si>
  <si>
    <t>Agency's Production Cost with 60% Markup</t>
  </si>
  <si>
    <t>Agency's Production Cost with 65% Markup</t>
  </si>
  <si>
    <t>Agency's Production Cost with 70% Markup</t>
  </si>
  <si>
    <t>Agency's Production Cost with 75% Markup</t>
  </si>
  <si>
    <t>Variable 02: Market Value</t>
  </si>
  <si>
    <t>Estimated Price that Other Agencies (like me) Charge</t>
  </si>
  <si>
    <t>Average Price of Similar Project We Have Completed</t>
  </si>
  <si>
    <t>Variable 03: Client Budget</t>
  </si>
  <si>
    <t>Estimated Client Budget</t>
  </si>
  <si>
    <t>Phases Breakdown</t>
  </si>
  <si>
    <t>Phase Prices</t>
  </si>
  <si>
    <t>Phase 1: Information Architecture</t>
  </si>
  <si>
    <t>Phase 2: (UX) User Experience Design &amp; Wireframes</t>
  </si>
  <si>
    <t>Phase 3: (UI) User Interface Design</t>
  </si>
  <si>
    <t>Phase 4: Development, QA, Integration, and Launch</t>
  </si>
  <si>
    <t>Total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</si>
</sst>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2">
    <font>
      <sz val="10.0"/>
      <color rgb="FF000000"/>
      <name val="Arial"/>
    </font>
    <font>
      <b/>
      <sz val="18.0"/>
      <color rgb="FF000000"/>
      <name val="Arial"/>
    </font>
    <font>
      <color rgb="FF434343"/>
      <name val="Arial"/>
    </font>
    <font>
      <color theme="1"/>
      <name val="Arial"/>
    </font>
    <font>
      <b/>
      <color rgb="FFF3F3F3"/>
      <name val="Arial"/>
    </font>
    <font>
      <b/>
      <sz val="12.0"/>
      <color rgb="FF000000"/>
      <name val="Arial"/>
    </font>
    <font>
      <b/>
      <color rgb="FFF1C232"/>
      <name val="Arial"/>
    </font>
    <font>
      <b/>
      <color rgb="FF000000"/>
      <name val="Arial"/>
    </font>
    <font>
      <b/>
      <color rgb="FFFFFFFF"/>
      <name val="Arial"/>
    </font>
    <font>
      <b/>
      <color theme="1"/>
      <name val="Arial"/>
    </font>
    <font>
      <b/>
      <sz val="12.0"/>
      <color theme="1"/>
      <name val="Arial"/>
    </font>
    <font>
      <b/>
      <sz val="12.0"/>
      <color rgb="FFF1C232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C627"/>
        <bgColor rgb="FFFFC627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  <fill>
      <patternFill patternType="solid">
        <fgColor rgb="FF6AA84F"/>
        <bgColor rgb="FF6AA84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horizontal="left" shrinkToFit="0" wrapText="1"/>
    </xf>
    <xf borderId="0" fillId="0" fontId="3" numFmtId="0" xfId="0" applyFont="1"/>
    <xf borderId="0" fillId="3" fontId="4" numFmtId="0" xfId="0" applyAlignment="1" applyFill="1" applyFont="1">
      <alignment shrinkToFit="0" wrapText="1"/>
    </xf>
    <xf borderId="0" fillId="4" fontId="5" numFmtId="0" xfId="0" applyAlignment="1" applyFill="1" applyFont="1">
      <alignment shrinkToFit="0" wrapText="1"/>
    </xf>
    <xf borderId="0" fillId="5" fontId="5" numFmtId="0" xfId="0" applyAlignment="1" applyFill="1" applyFont="1">
      <alignment shrinkToFit="0" wrapText="1"/>
    </xf>
    <xf borderId="0" fillId="6" fontId="5" numFmtId="0" xfId="0" applyAlignment="1" applyFill="1" applyFont="1">
      <alignment shrinkToFit="0" wrapText="1"/>
    </xf>
    <xf borderId="0" fillId="3" fontId="6" numFmtId="0" xfId="0" applyAlignment="1" applyFont="1">
      <alignment shrinkToFit="0" wrapText="1"/>
    </xf>
    <xf borderId="0" fillId="3" fontId="6" numFmtId="0" xfId="0" applyAlignment="1" applyFont="1">
      <alignment horizontal="left" shrinkToFit="0" wrapText="1"/>
    </xf>
    <xf borderId="0" fillId="7" fontId="7" numFmtId="0" xfId="0" applyAlignment="1" applyFill="1" applyFont="1">
      <alignment horizontal="right" shrinkToFit="0" wrapText="1"/>
    </xf>
    <xf borderId="0" fillId="7" fontId="7" numFmtId="0" xfId="0" applyAlignment="1" applyFont="1">
      <alignment horizontal="right" readingOrder="0" shrinkToFit="0" wrapText="1"/>
    </xf>
    <xf borderId="0" fillId="8" fontId="7" numFmtId="0" xfId="0" applyAlignment="1" applyFill="1" applyFont="1">
      <alignment horizontal="right" shrinkToFit="0" wrapText="1"/>
    </xf>
    <xf borderId="0" fillId="8" fontId="7" numFmtId="0" xfId="0" applyAlignment="1" applyFont="1">
      <alignment horizontal="right" readingOrder="0" shrinkToFit="0" wrapText="1"/>
    </xf>
    <xf borderId="0" fillId="9" fontId="7" numFmtId="0" xfId="0" applyAlignment="1" applyFill="1" applyFont="1">
      <alignment horizontal="right" shrinkToFit="0" wrapText="1"/>
    </xf>
    <xf borderId="0" fillId="10" fontId="3" numFmtId="0" xfId="0" applyFill="1" applyFont="1"/>
    <xf borderId="0" fillId="11" fontId="3" numFmtId="164" xfId="0" applyAlignment="1" applyFill="1" applyFont="1" applyNumberFormat="1">
      <alignment readingOrder="0"/>
    </xf>
    <xf borderId="0" fillId="11" fontId="3" numFmtId="0" xfId="0" applyAlignment="1" applyFont="1">
      <alignment readingOrder="0"/>
    </xf>
    <xf borderId="0" fillId="11" fontId="3" numFmtId="0" xfId="0" applyFont="1"/>
    <xf borderId="0" fillId="10" fontId="3" numFmtId="164" xfId="0" applyFont="1" applyNumberFormat="1"/>
    <xf borderId="0" fillId="11" fontId="3" numFmtId="164" xfId="0" applyFont="1" applyNumberFormat="1"/>
    <xf borderId="0" fillId="11" fontId="3" numFmtId="0" xfId="0" applyAlignment="1" applyFont="1">
      <alignment shrinkToFit="0" vertical="top" wrapText="1"/>
    </xf>
    <xf borderId="0" fillId="11" fontId="3" numFmtId="164" xfId="0" applyAlignment="1" applyFont="1" applyNumberFormat="1">
      <alignment shrinkToFit="0" vertical="top" wrapText="1"/>
    </xf>
    <xf borderId="0" fillId="10" fontId="3" numFmtId="0" xfId="0" applyAlignment="1" applyFont="1">
      <alignment readingOrder="0"/>
    </xf>
    <xf borderId="0" fillId="11" fontId="3" numFmtId="0" xfId="0" applyAlignment="1" applyFont="1">
      <alignment shrinkToFit="0" wrapText="1"/>
    </xf>
    <xf borderId="0" fillId="12" fontId="7" numFmtId="0" xfId="0" applyAlignment="1" applyFill="1" applyFont="1">
      <alignment horizontal="right" shrinkToFit="0" wrapText="1"/>
    </xf>
    <xf borderId="0" fillId="12" fontId="8" numFmtId="0" xfId="0" applyAlignment="1" applyFont="1">
      <alignment horizontal="right" shrinkToFit="0" wrapText="1"/>
    </xf>
    <xf borderId="0" fillId="4" fontId="8" numFmtId="0" xfId="0" applyAlignment="1" applyFont="1">
      <alignment horizontal="right" shrinkToFit="0" wrapText="1"/>
    </xf>
    <xf borderId="0" fillId="4" fontId="9" numFmtId="0" xfId="0" applyAlignment="1" applyFont="1">
      <alignment horizontal="right" shrinkToFit="0" wrapText="1"/>
    </xf>
    <xf borderId="0" fillId="4" fontId="9" numFmtId="164" xfId="0" applyAlignment="1" applyFont="1" applyNumberFormat="1">
      <alignment horizontal="right" shrinkToFit="0" wrapText="1"/>
    </xf>
    <xf borderId="0" fillId="8" fontId="3" numFmtId="0" xfId="0" applyAlignment="1" applyFont="1">
      <alignment horizontal="left" shrinkToFit="0" wrapText="1"/>
    </xf>
    <xf borderId="0" fillId="8" fontId="9" numFmtId="0" xfId="0" applyAlignment="1" applyFont="1">
      <alignment horizontal="right" shrinkToFit="0" wrapText="1"/>
    </xf>
    <xf borderId="0" fillId="8" fontId="9" numFmtId="164" xfId="0" applyAlignment="1" applyFont="1" applyNumberFormat="1">
      <alignment horizontal="right" shrinkToFit="0" wrapText="1"/>
    </xf>
    <xf borderId="0" fillId="9" fontId="3" numFmtId="0" xfId="0" applyAlignment="1" applyFont="1">
      <alignment horizontal="left" shrinkToFit="0" wrapText="1"/>
    </xf>
    <xf borderId="0" fillId="9" fontId="9" numFmtId="164" xfId="0" applyAlignment="1" applyFont="1" applyNumberFormat="1">
      <alignment horizontal="right" shrinkToFit="0" wrapText="1"/>
    </xf>
    <xf borderId="0" fillId="13" fontId="10" numFmtId="0" xfId="0" applyAlignment="1" applyFill="1" applyFont="1">
      <alignment shrinkToFit="0" wrapText="1"/>
    </xf>
    <xf borderId="0" fillId="14" fontId="10" numFmtId="164" xfId="0" applyAlignment="1" applyFill="1" applyFont="1" applyNumberFormat="1">
      <alignment horizontal="right" shrinkToFit="0" wrapText="1"/>
    </xf>
    <xf borderId="0" fillId="15" fontId="3" numFmtId="0" xfId="0" applyAlignment="1" applyFill="1" applyFont="1">
      <alignment horizontal="left"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shrinkToFit="0" wrapText="1"/>
    </xf>
    <xf borderId="0" fillId="3" fontId="11" numFmtId="0" xfId="0" applyAlignment="1" applyFont="1">
      <alignment shrinkToFit="0" wrapText="1"/>
    </xf>
    <xf borderId="0" fillId="4" fontId="7" numFmtId="0" xfId="0" applyAlignment="1" applyFont="1">
      <alignment horizontal="right" shrinkToFit="0" vertical="bottom" wrapText="1"/>
    </xf>
    <xf borderId="0" fillId="6" fontId="7" numFmtId="0" xfId="0" applyAlignment="1" applyFont="1">
      <alignment horizontal="right" shrinkToFit="0" vertical="bottom" wrapText="1"/>
    </xf>
    <xf borderId="0" fillId="13" fontId="7" numFmtId="0" xfId="0" applyAlignment="1" applyFont="1">
      <alignment horizontal="right" shrinkToFit="0" vertical="bottom" wrapText="1"/>
    </xf>
    <xf borderId="0" fillId="12" fontId="9" numFmtId="0" xfId="0" applyAlignment="1" applyFont="1">
      <alignment horizontal="right" vertical="bottom"/>
    </xf>
    <xf borderId="0" fillId="0" fontId="9" numFmtId="0" xfId="0" applyAlignment="1" applyFont="1">
      <alignment shrinkToFit="0" wrapText="1"/>
    </xf>
    <xf borderId="0" fillId="7" fontId="9" numFmtId="9" xfId="0" applyFont="1" applyNumberFormat="1"/>
    <xf borderId="0" fillId="9" fontId="9" numFmtId="164" xfId="0" applyAlignment="1" applyFont="1" applyNumberFormat="1">
      <alignment horizontal="right" vertical="bottom"/>
    </xf>
    <xf borderId="0" fillId="16" fontId="7" numFmtId="164" xfId="0" applyAlignment="1" applyFill="1" applyFont="1" applyNumberFormat="1">
      <alignment horizontal="right" vertical="bottom"/>
    </xf>
    <xf borderId="0" fillId="10" fontId="9" numFmtId="164" xfId="0" applyAlignment="1" applyFont="1" applyNumberFormat="1">
      <alignment vertical="bottom"/>
    </xf>
    <xf borderId="0" fillId="10" fontId="7" numFmtId="9" xfId="0" applyAlignment="1" applyFont="1" applyNumberFormat="1">
      <alignment horizontal="right" vertical="bottom"/>
    </xf>
    <xf borderId="0" fillId="3" fontId="3" numFmtId="0" xfId="0" applyFont="1"/>
    <xf borderId="0" fillId="15" fontId="9" numFmtId="164" xfId="0" applyAlignment="1" applyFont="1" applyNumberFormat="1">
      <alignment horizontal="right" vertical="bottom"/>
    </xf>
    <xf borderId="0" fillId="15" fontId="7" numFmtId="164" xfId="0" applyAlignment="1" applyFont="1" applyNumberFormat="1">
      <alignment horizontal="right" vertical="bottom"/>
    </xf>
    <xf borderId="0" fillId="15" fontId="3" numFmtId="164" xfId="0" applyAlignment="1" applyFont="1" applyNumberFormat="1">
      <alignment vertical="bottom"/>
    </xf>
    <xf borderId="0" fillId="15" fontId="7" numFmtId="10" xfId="0" applyAlignment="1" applyFont="1" applyNumberFormat="1">
      <alignment horizontal="right" vertical="bottom"/>
    </xf>
    <xf borderId="0" fillId="6" fontId="9" numFmtId="0" xfId="0" applyAlignment="1" applyFont="1">
      <alignment shrinkToFit="0" wrapText="1"/>
    </xf>
    <xf borderId="0" fillId="15" fontId="3" numFmtId="0" xfId="0" applyAlignment="1" applyFont="1">
      <alignment shrinkToFit="0" wrapText="1"/>
    </xf>
    <xf borderId="0" fillId="15" fontId="3" numFmtId="0" xfId="0" applyFont="1"/>
    <xf borderId="0" fillId="6" fontId="9" numFmtId="0" xfId="0" applyFont="1"/>
    <xf borderId="0" fillId="15" fontId="3" numFmtId="0" xfId="0" applyAlignment="1" applyFont="1">
      <alignment vertical="bottom"/>
    </xf>
    <xf borderId="0" fillId="3" fontId="6" numFmtId="0" xfId="0" applyAlignment="1" applyFont="1">
      <alignment horizontal="right" vertical="bottom"/>
    </xf>
    <xf borderId="0" fillId="17" fontId="9" numFmtId="164" xfId="0" applyAlignment="1" applyFill="1" applyFont="1" applyNumberFormat="1">
      <alignment horizontal="right" shrinkToFit="0" wrapText="1"/>
    </xf>
    <xf borderId="0" fillId="12" fontId="9" numFmtId="164" xfId="0" applyAlignment="1" applyFont="1" applyNumberFormat="1">
      <alignment horizontal="right" shrinkToFit="0" wrapText="1"/>
    </xf>
    <xf borderId="0" fillId="10" fontId="7" numFmtId="0" xfId="0" applyAlignment="1" applyFont="1">
      <alignment horizontal="right" shrinkToFit="0" wrapText="1"/>
    </xf>
    <xf borderId="0" fillId="10" fontId="9" numFmtId="164" xfId="0" applyAlignment="1" applyFont="1" applyNumberFormat="1">
      <alignment horizontal="right" shrinkToFit="0" wrapText="1"/>
    </xf>
    <xf borderId="0" fillId="10" fontId="3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51.71"/>
    <col customWidth="1" min="2" max="2" width="20.29"/>
    <col customWidth="1" min="3" max="3" width="21.14"/>
    <col customWidth="1" min="4" max="4" width="18.14"/>
    <col customWidth="1" min="5" max="5" width="15.29"/>
    <col customWidth="1" min="6" max="6" width="16.86"/>
    <col customWidth="1" min="7" max="7" width="15.71"/>
    <col customWidth="1" min="8" max="8" width="13.29"/>
    <col customWidth="1" min="9" max="9" width="18.0"/>
    <col customWidth="1" min="10" max="11" width="13.29"/>
    <col customWidth="1" min="12" max="12" width="16.29"/>
    <col customWidth="1" min="13" max="13" width="15.29"/>
    <col customWidth="1" min="14" max="14" width="13.57"/>
    <col customWidth="1" min="15" max="15" width="25.0"/>
  </cols>
  <sheetData>
    <row r="1" ht="50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/>
      <c r="B2" s="4"/>
      <c r="C2" s="5" t="s">
        <v>1</v>
      </c>
      <c r="H2" s="6" t="s">
        <v>2</v>
      </c>
      <c r="N2" s="7" t="s">
        <v>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8" t="s">
        <v>4</v>
      </c>
      <c r="B3" s="9" t="s">
        <v>5</v>
      </c>
      <c r="C3" s="10" t="s">
        <v>6</v>
      </c>
      <c r="D3" s="10" t="s">
        <v>7</v>
      </c>
      <c r="E3" s="10" t="s">
        <v>8</v>
      </c>
      <c r="F3" s="11" t="s">
        <v>9</v>
      </c>
      <c r="G3" s="10" t="s">
        <v>10</v>
      </c>
      <c r="H3" s="12" t="s">
        <v>11</v>
      </c>
      <c r="I3" s="12" t="s">
        <v>12</v>
      </c>
      <c r="J3" s="12" t="s">
        <v>7</v>
      </c>
      <c r="K3" s="12" t="s">
        <v>8</v>
      </c>
      <c r="L3" s="13" t="s">
        <v>9</v>
      </c>
      <c r="M3" s="12" t="s">
        <v>10</v>
      </c>
      <c r="N3" s="14" t="s">
        <v>11</v>
      </c>
      <c r="O3" s="14" t="s">
        <v>10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5" t="s">
        <v>13</v>
      </c>
      <c r="B4" s="15" t="s">
        <v>14</v>
      </c>
      <c r="C4" s="16">
        <v>40.0</v>
      </c>
      <c r="D4" s="17">
        <v>0.0</v>
      </c>
      <c r="E4" s="18">
        <v>0.0</v>
      </c>
      <c r="F4" s="15">
        <f>D4*E4</f>
        <v>0</v>
      </c>
      <c r="G4" s="19">
        <f t="shared" ref="G4:G41" si="1">C4 * (D4 * E4)</f>
        <v>0</v>
      </c>
      <c r="H4" s="20"/>
      <c r="I4" s="20">
        <v>0.0</v>
      </c>
      <c r="J4" s="18">
        <v>0.0</v>
      </c>
      <c r="K4" s="18">
        <v>0.0</v>
      </c>
      <c r="L4" s="15">
        <f t="shared" ref="L4:L41" si="2">J4*K4</f>
        <v>0</v>
      </c>
      <c r="M4" s="19">
        <f t="shared" ref="M4:M41" si="3">I4 * (J4 * K4)</f>
        <v>0</v>
      </c>
      <c r="N4" s="21"/>
      <c r="O4" s="22">
        <v>0.0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5" t="s">
        <v>15</v>
      </c>
      <c r="B5" s="15" t="s">
        <v>14</v>
      </c>
      <c r="C5" s="16">
        <v>40.0</v>
      </c>
      <c r="D5" s="17">
        <v>0.0</v>
      </c>
      <c r="E5" s="18">
        <v>0.0</v>
      </c>
      <c r="F5" s="15">
        <v>0.0</v>
      </c>
      <c r="G5" s="19">
        <f t="shared" si="1"/>
        <v>0</v>
      </c>
      <c r="H5" s="18"/>
      <c r="I5" s="20">
        <v>0.0</v>
      </c>
      <c r="J5" s="18">
        <v>0.0</v>
      </c>
      <c r="K5" s="18">
        <v>0.0</v>
      </c>
      <c r="L5" s="15">
        <f t="shared" si="2"/>
        <v>0</v>
      </c>
      <c r="M5" s="19">
        <f t="shared" si="3"/>
        <v>0</v>
      </c>
      <c r="N5" s="21"/>
      <c r="O5" s="22">
        <v>0.0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5" t="s">
        <v>16</v>
      </c>
      <c r="B6" s="15" t="s">
        <v>17</v>
      </c>
      <c r="C6" s="16">
        <v>40.0</v>
      </c>
      <c r="D6" s="17">
        <v>0.0</v>
      </c>
      <c r="E6" s="18">
        <v>0.0</v>
      </c>
      <c r="F6" s="15">
        <f t="shared" ref="F6:F41" si="4">D6*E6</f>
        <v>0</v>
      </c>
      <c r="G6" s="19">
        <f t="shared" si="1"/>
        <v>0</v>
      </c>
      <c r="H6" s="18"/>
      <c r="I6" s="20">
        <v>0.0</v>
      </c>
      <c r="J6" s="18">
        <v>0.0</v>
      </c>
      <c r="K6" s="18">
        <v>0.0</v>
      </c>
      <c r="L6" s="15">
        <f t="shared" si="2"/>
        <v>0</v>
      </c>
      <c r="M6" s="19">
        <f t="shared" si="3"/>
        <v>0</v>
      </c>
      <c r="N6" s="21"/>
      <c r="O6" s="22">
        <v>0.0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5" t="s">
        <v>18</v>
      </c>
      <c r="B7" s="15" t="s">
        <v>14</v>
      </c>
      <c r="C7" s="16">
        <v>40.0</v>
      </c>
      <c r="D7" s="17">
        <v>0.0</v>
      </c>
      <c r="E7" s="18">
        <v>0.0</v>
      </c>
      <c r="F7" s="15">
        <f t="shared" si="4"/>
        <v>0</v>
      </c>
      <c r="G7" s="19">
        <f t="shared" si="1"/>
        <v>0</v>
      </c>
      <c r="H7" s="18"/>
      <c r="I7" s="20">
        <v>0.0</v>
      </c>
      <c r="J7" s="18">
        <v>0.0</v>
      </c>
      <c r="K7" s="18">
        <v>0.0</v>
      </c>
      <c r="L7" s="15">
        <f t="shared" si="2"/>
        <v>0</v>
      </c>
      <c r="M7" s="19">
        <f t="shared" si="3"/>
        <v>0</v>
      </c>
      <c r="N7" s="21"/>
      <c r="O7" s="22">
        <v>0.0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5" t="s">
        <v>19</v>
      </c>
      <c r="B8" s="15" t="s">
        <v>17</v>
      </c>
      <c r="C8" s="16">
        <v>40.0</v>
      </c>
      <c r="D8" s="17">
        <v>0.0</v>
      </c>
      <c r="E8" s="18">
        <v>0.0</v>
      </c>
      <c r="F8" s="15">
        <f t="shared" si="4"/>
        <v>0</v>
      </c>
      <c r="G8" s="19">
        <f t="shared" si="1"/>
        <v>0</v>
      </c>
      <c r="H8" s="18"/>
      <c r="I8" s="20">
        <v>0.0</v>
      </c>
      <c r="J8" s="18">
        <v>0.0</v>
      </c>
      <c r="K8" s="18">
        <v>0.0</v>
      </c>
      <c r="L8" s="15">
        <f t="shared" si="2"/>
        <v>0</v>
      </c>
      <c r="M8" s="19">
        <f t="shared" si="3"/>
        <v>0</v>
      </c>
      <c r="N8" s="21"/>
      <c r="O8" s="22">
        <v>0.0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5" t="s">
        <v>20</v>
      </c>
      <c r="B9" s="15" t="s">
        <v>14</v>
      </c>
      <c r="C9" s="16">
        <v>40.0</v>
      </c>
      <c r="D9" s="17">
        <v>0.0</v>
      </c>
      <c r="E9" s="18">
        <v>0.0</v>
      </c>
      <c r="F9" s="15">
        <f t="shared" si="4"/>
        <v>0</v>
      </c>
      <c r="G9" s="19">
        <f t="shared" si="1"/>
        <v>0</v>
      </c>
      <c r="H9" s="18"/>
      <c r="I9" s="20">
        <v>0.0</v>
      </c>
      <c r="J9" s="18">
        <v>0.0</v>
      </c>
      <c r="K9" s="18">
        <v>0.0</v>
      </c>
      <c r="L9" s="15">
        <f t="shared" si="2"/>
        <v>0</v>
      </c>
      <c r="M9" s="19">
        <f t="shared" si="3"/>
        <v>0</v>
      </c>
      <c r="N9" s="21"/>
      <c r="O9" s="22">
        <v>0.0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5" t="s">
        <v>21</v>
      </c>
      <c r="B10" s="15" t="s">
        <v>22</v>
      </c>
      <c r="C10" s="16">
        <v>40.0</v>
      </c>
      <c r="D10" s="17">
        <v>0.0</v>
      </c>
      <c r="E10" s="18">
        <v>0.0</v>
      </c>
      <c r="F10" s="15">
        <f t="shared" si="4"/>
        <v>0</v>
      </c>
      <c r="G10" s="19">
        <f t="shared" si="1"/>
        <v>0</v>
      </c>
      <c r="H10" s="18"/>
      <c r="I10" s="20">
        <v>0.0</v>
      </c>
      <c r="J10" s="18">
        <v>0.0</v>
      </c>
      <c r="K10" s="18">
        <v>0.0</v>
      </c>
      <c r="L10" s="15">
        <f t="shared" si="2"/>
        <v>0</v>
      </c>
      <c r="M10" s="19">
        <f t="shared" si="3"/>
        <v>0</v>
      </c>
      <c r="N10" s="21"/>
      <c r="O10" s="22">
        <v>0.0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5" t="s">
        <v>23</v>
      </c>
      <c r="B11" s="15" t="s">
        <v>22</v>
      </c>
      <c r="C11" s="16">
        <v>40.0</v>
      </c>
      <c r="D11" s="17">
        <v>0.0</v>
      </c>
      <c r="E11" s="18">
        <v>0.0</v>
      </c>
      <c r="F11" s="15">
        <f t="shared" si="4"/>
        <v>0</v>
      </c>
      <c r="G11" s="19">
        <f t="shared" si="1"/>
        <v>0</v>
      </c>
      <c r="H11" s="18"/>
      <c r="I11" s="20">
        <v>0.0</v>
      </c>
      <c r="J11" s="18">
        <v>0.0</v>
      </c>
      <c r="K11" s="18">
        <v>0.0</v>
      </c>
      <c r="L11" s="15">
        <f t="shared" si="2"/>
        <v>0</v>
      </c>
      <c r="M11" s="19">
        <f t="shared" si="3"/>
        <v>0</v>
      </c>
      <c r="N11" s="21"/>
      <c r="O11" s="22">
        <v>0.0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23" t="s">
        <v>24</v>
      </c>
      <c r="B12" s="15" t="s">
        <v>17</v>
      </c>
      <c r="C12" s="16">
        <v>40.0</v>
      </c>
      <c r="D12" s="17">
        <v>0.0</v>
      </c>
      <c r="E12" s="18">
        <v>0.0</v>
      </c>
      <c r="F12" s="15">
        <f t="shared" si="4"/>
        <v>0</v>
      </c>
      <c r="G12" s="19">
        <f t="shared" si="1"/>
        <v>0</v>
      </c>
      <c r="H12" s="18"/>
      <c r="I12" s="20">
        <v>0.0</v>
      </c>
      <c r="J12" s="18">
        <v>0.0</v>
      </c>
      <c r="K12" s="18">
        <v>0.0</v>
      </c>
      <c r="L12" s="15">
        <f t="shared" si="2"/>
        <v>0</v>
      </c>
      <c r="M12" s="19">
        <f t="shared" si="3"/>
        <v>0</v>
      </c>
      <c r="N12" s="21"/>
      <c r="O12" s="22">
        <v>0.0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3" t="s">
        <v>25</v>
      </c>
      <c r="B13" s="15" t="s">
        <v>22</v>
      </c>
      <c r="C13" s="16">
        <v>40.0</v>
      </c>
      <c r="D13" s="17">
        <v>0.0</v>
      </c>
      <c r="E13" s="18">
        <v>0.0</v>
      </c>
      <c r="F13" s="15">
        <f t="shared" si="4"/>
        <v>0</v>
      </c>
      <c r="G13" s="19">
        <f t="shared" si="1"/>
        <v>0</v>
      </c>
      <c r="H13" s="18"/>
      <c r="I13" s="20">
        <v>0.0</v>
      </c>
      <c r="J13" s="18">
        <v>0.0</v>
      </c>
      <c r="K13" s="18">
        <v>0.0</v>
      </c>
      <c r="L13" s="15">
        <f t="shared" si="2"/>
        <v>0</v>
      </c>
      <c r="M13" s="19">
        <f t="shared" si="3"/>
        <v>0</v>
      </c>
      <c r="N13" s="21"/>
      <c r="O13" s="22">
        <v>0.0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3" t="s">
        <v>26</v>
      </c>
      <c r="B14" s="15" t="s">
        <v>17</v>
      </c>
      <c r="C14" s="16">
        <v>40.0</v>
      </c>
      <c r="D14" s="17">
        <v>0.0</v>
      </c>
      <c r="E14" s="18">
        <v>0.0</v>
      </c>
      <c r="F14" s="15">
        <f t="shared" si="4"/>
        <v>0</v>
      </c>
      <c r="G14" s="19">
        <f t="shared" si="1"/>
        <v>0</v>
      </c>
      <c r="H14" s="18"/>
      <c r="I14" s="20">
        <v>0.0</v>
      </c>
      <c r="J14" s="18">
        <v>0.0</v>
      </c>
      <c r="K14" s="18">
        <v>0.0</v>
      </c>
      <c r="L14" s="15">
        <f t="shared" si="2"/>
        <v>0</v>
      </c>
      <c r="M14" s="19">
        <f t="shared" si="3"/>
        <v>0</v>
      </c>
      <c r="N14" s="21"/>
      <c r="O14" s="22">
        <v>0.0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3" t="s">
        <v>27</v>
      </c>
      <c r="B15" s="15" t="s">
        <v>22</v>
      </c>
      <c r="C15" s="16">
        <v>40.0</v>
      </c>
      <c r="D15" s="17">
        <v>0.0</v>
      </c>
      <c r="E15" s="18">
        <v>0.0</v>
      </c>
      <c r="F15" s="15">
        <f t="shared" si="4"/>
        <v>0</v>
      </c>
      <c r="G15" s="19">
        <f t="shared" si="1"/>
        <v>0</v>
      </c>
      <c r="H15" s="18"/>
      <c r="I15" s="20">
        <v>0.0</v>
      </c>
      <c r="J15" s="18">
        <v>0.0</v>
      </c>
      <c r="K15" s="18">
        <v>0.0</v>
      </c>
      <c r="L15" s="15">
        <f t="shared" si="2"/>
        <v>0</v>
      </c>
      <c r="M15" s="19">
        <f t="shared" si="3"/>
        <v>0</v>
      </c>
      <c r="N15" s="21"/>
      <c r="O15" s="22">
        <v>0.0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23" t="s">
        <v>28</v>
      </c>
      <c r="B16" s="15" t="s">
        <v>17</v>
      </c>
      <c r="C16" s="16">
        <v>40.0</v>
      </c>
      <c r="D16" s="17">
        <v>0.0</v>
      </c>
      <c r="E16" s="18">
        <v>0.0</v>
      </c>
      <c r="F16" s="15">
        <f t="shared" si="4"/>
        <v>0</v>
      </c>
      <c r="G16" s="19">
        <f t="shared" si="1"/>
        <v>0</v>
      </c>
      <c r="H16" s="18"/>
      <c r="I16" s="20">
        <v>0.0</v>
      </c>
      <c r="J16" s="18">
        <v>0.0</v>
      </c>
      <c r="K16" s="18">
        <v>0.0</v>
      </c>
      <c r="L16" s="15">
        <f t="shared" si="2"/>
        <v>0</v>
      </c>
      <c r="M16" s="19">
        <f t="shared" si="3"/>
        <v>0</v>
      </c>
      <c r="N16" s="21"/>
      <c r="O16" s="22">
        <v>0.0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23" t="s">
        <v>29</v>
      </c>
      <c r="B17" s="15" t="s">
        <v>22</v>
      </c>
      <c r="C17" s="16">
        <v>40.0</v>
      </c>
      <c r="D17" s="17">
        <v>0.0</v>
      </c>
      <c r="E17" s="18">
        <v>0.0</v>
      </c>
      <c r="F17" s="15">
        <f t="shared" si="4"/>
        <v>0</v>
      </c>
      <c r="G17" s="19">
        <f t="shared" si="1"/>
        <v>0</v>
      </c>
      <c r="H17" s="18"/>
      <c r="I17" s="20">
        <v>0.0</v>
      </c>
      <c r="J17" s="18">
        <v>0.0</v>
      </c>
      <c r="K17" s="18">
        <v>0.0</v>
      </c>
      <c r="L17" s="15">
        <f t="shared" si="2"/>
        <v>0</v>
      </c>
      <c r="M17" s="19">
        <f t="shared" si="3"/>
        <v>0</v>
      </c>
      <c r="N17" s="21"/>
      <c r="O17" s="22">
        <v>0.0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23" t="s">
        <v>30</v>
      </c>
      <c r="B18" s="15" t="s">
        <v>17</v>
      </c>
      <c r="C18" s="16">
        <v>40.0</v>
      </c>
      <c r="D18" s="17">
        <v>0.0</v>
      </c>
      <c r="E18" s="18">
        <v>0.0</v>
      </c>
      <c r="F18" s="15">
        <f t="shared" si="4"/>
        <v>0</v>
      </c>
      <c r="G18" s="19">
        <f t="shared" si="1"/>
        <v>0</v>
      </c>
      <c r="H18" s="18"/>
      <c r="I18" s="20">
        <v>0.0</v>
      </c>
      <c r="J18" s="18">
        <v>0.0</v>
      </c>
      <c r="K18" s="18">
        <v>0.0</v>
      </c>
      <c r="L18" s="15">
        <f t="shared" si="2"/>
        <v>0</v>
      </c>
      <c r="M18" s="19">
        <f t="shared" si="3"/>
        <v>0</v>
      </c>
      <c r="N18" s="24"/>
      <c r="O18" s="22">
        <v>0.0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23" t="s">
        <v>31</v>
      </c>
      <c r="B19" s="15" t="s">
        <v>22</v>
      </c>
      <c r="C19" s="16">
        <v>40.0</v>
      </c>
      <c r="D19" s="17">
        <v>0.0</v>
      </c>
      <c r="E19" s="18">
        <v>0.0</v>
      </c>
      <c r="F19" s="15">
        <f t="shared" si="4"/>
        <v>0</v>
      </c>
      <c r="G19" s="19">
        <f t="shared" si="1"/>
        <v>0</v>
      </c>
      <c r="H19" s="18"/>
      <c r="I19" s="20">
        <v>0.0</v>
      </c>
      <c r="J19" s="18">
        <v>0.0</v>
      </c>
      <c r="K19" s="18">
        <v>0.0</v>
      </c>
      <c r="L19" s="15">
        <f t="shared" si="2"/>
        <v>0</v>
      </c>
      <c r="M19" s="19">
        <f t="shared" si="3"/>
        <v>0</v>
      </c>
      <c r="N19" s="24"/>
      <c r="O19" s="22">
        <v>0.0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23" t="s">
        <v>32</v>
      </c>
      <c r="B20" s="15" t="s">
        <v>17</v>
      </c>
      <c r="C20" s="16">
        <v>40.0</v>
      </c>
      <c r="D20" s="17">
        <v>0.0</v>
      </c>
      <c r="E20" s="18">
        <v>0.0</v>
      </c>
      <c r="F20" s="15">
        <f t="shared" si="4"/>
        <v>0</v>
      </c>
      <c r="G20" s="19">
        <f t="shared" si="1"/>
        <v>0</v>
      </c>
      <c r="H20" s="18"/>
      <c r="I20" s="20">
        <v>0.0</v>
      </c>
      <c r="J20" s="18">
        <v>0.0</v>
      </c>
      <c r="K20" s="18">
        <v>0.0</v>
      </c>
      <c r="L20" s="15">
        <f t="shared" si="2"/>
        <v>0</v>
      </c>
      <c r="M20" s="19">
        <f t="shared" si="3"/>
        <v>0</v>
      </c>
      <c r="N20" s="24"/>
      <c r="O20" s="22">
        <v>0.0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3" t="s">
        <v>33</v>
      </c>
      <c r="B21" s="15" t="s">
        <v>22</v>
      </c>
      <c r="C21" s="16">
        <v>40.0</v>
      </c>
      <c r="D21" s="17">
        <v>0.0</v>
      </c>
      <c r="E21" s="18">
        <v>0.0</v>
      </c>
      <c r="F21" s="15">
        <f t="shared" si="4"/>
        <v>0</v>
      </c>
      <c r="G21" s="19">
        <f t="shared" si="1"/>
        <v>0</v>
      </c>
      <c r="H21" s="18"/>
      <c r="I21" s="20">
        <v>0.0</v>
      </c>
      <c r="J21" s="18">
        <v>0.0</v>
      </c>
      <c r="K21" s="18">
        <v>0.0</v>
      </c>
      <c r="L21" s="15">
        <f t="shared" si="2"/>
        <v>0</v>
      </c>
      <c r="M21" s="19">
        <f t="shared" si="3"/>
        <v>0</v>
      </c>
      <c r="N21" s="24"/>
      <c r="O21" s="22">
        <v>0.0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5" t="s">
        <v>34</v>
      </c>
      <c r="B22" s="15" t="s">
        <v>17</v>
      </c>
      <c r="C22" s="16">
        <v>40.0</v>
      </c>
      <c r="D22" s="17">
        <v>0.0</v>
      </c>
      <c r="E22" s="18">
        <v>0.0</v>
      </c>
      <c r="F22" s="15">
        <f t="shared" si="4"/>
        <v>0</v>
      </c>
      <c r="G22" s="19">
        <f t="shared" si="1"/>
        <v>0</v>
      </c>
      <c r="H22" s="18"/>
      <c r="I22" s="20">
        <v>0.0</v>
      </c>
      <c r="J22" s="18">
        <v>0.0</v>
      </c>
      <c r="K22" s="18">
        <v>0.0</v>
      </c>
      <c r="L22" s="15">
        <f t="shared" si="2"/>
        <v>0</v>
      </c>
      <c r="M22" s="19">
        <f t="shared" si="3"/>
        <v>0</v>
      </c>
      <c r="N22" s="24"/>
      <c r="O22" s="22">
        <v>0.0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5" t="s">
        <v>35</v>
      </c>
      <c r="B23" s="15" t="s">
        <v>22</v>
      </c>
      <c r="C23" s="16">
        <v>40.0</v>
      </c>
      <c r="D23" s="17">
        <v>0.0</v>
      </c>
      <c r="E23" s="18">
        <v>0.0</v>
      </c>
      <c r="F23" s="15">
        <f t="shared" si="4"/>
        <v>0</v>
      </c>
      <c r="G23" s="19">
        <f t="shared" si="1"/>
        <v>0</v>
      </c>
      <c r="H23" s="18"/>
      <c r="I23" s="20">
        <v>0.0</v>
      </c>
      <c r="J23" s="18">
        <v>0.0</v>
      </c>
      <c r="K23" s="18">
        <v>0.0</v>
      </c>
      <c r="L23" s="15">
        <f t="shared" si="2"/>
        <v>0</v>
      </c>
      <c r="M23" s="19">
        <f t="shared" si="3"/>
        <v>0</v>
      </c>
      <c r="N23" s="24"/>
      <c r="O23" s="22">
        <v>0.0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5" t="s">
        <v>36</v>
      </c>
      <c r="B24" s="15" t="s">
        <v>17</v>
      </c>
      <c r="C24" s="16">
        <v>40.0</v>
      </c>
      <c r="D24" s="17">
        <v>0.0</v>
      </c>
      <c r="E24" s="18">
        <v>0.0</v>
      </c>
      <c r="F24" s="15">
        <f t="shared" si="4"/>
        <v>0</v>
      </c>
      <c r="G24" s="19">
        <f t="shared" si="1"/>
        <v>0</v>
      </c>
      <c r="H24" s="18"/>
      <c r="I24" s="20">
        <v>0.0</v>
      </c>
      <c r="J24" s="18">
        <v>0.0</v>
      </c>
      <c r="K24" s="18">
        <v>0.0</v>
      </c>
      <c r="L24" s="15">
        <f t="shared" si="2"/>
        <v>0</v>
      </c>
      <c r="M24" s="19">
        <f t="shared" si="3"/>
        <v>0</v>
      </c>
      <c r="N24" s="24"/>
      <c r="O24" s="22">
        <v>0.0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5" t="s">
        <v>37</v>
      </c>
      <c r="B25" s="15" t="s">
        <v>22</v>
      </c>
      <c r="C25" s="16">
        <v>40.0</v>
      </c>
      <c r="D25" s="17">
        <v>0.0</v>
      </c>
      <c r="E25" s="18">
        <v>0.0</v>
      </c>
      <c r="F25" s="15">
        <f t="shared" si="4"/>
        <v>0</v>
      </c>
      <c r="G25" s="19">
        <f t="shared" si="1"/>
        <v>0</v>
      </c>
      <c r="H25" s="18"/>
      <c r="I25" s="20">
        <v>0.0</v>
      </c>
      <c r="J25" s="18">
        <v>0.0</v>
      </c>
      <c r="K25" s="18">
        <v>0.0</v>
      </c>
      <c r="L25" s="15">
        <f t="shared" si="2"/>
        <v>0</v>
      </c>
      <c r="M25" s="19">
        <f t="shared" si="3"/>
        <v>0</v>
      </c>
      <c r="N25" s="24"/>
      <c r="O25" s="22">
        <v>0.0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5" t="s">
        <v>38</v>
      </c>
      <c r="B26" s="15" t="s">
        <v>17</v>
      </c>
      <c r="C26" s="16">
        <v>40.0</v>
      </c>
      <c r="D26" s="17">
        <v>0.0</v>
      </c>
      <c r="E26" s="18">
        <v>0.0</v>
      </c>
      <c r="F26" s="15">
        <f t="shared" si="4"/>
        <v>0</v>
      </c>
      <c r="G26" s="19">
        <f t="shared" si="1"/>
        <v>0</v>
      </c>
      <c r="H26" s="18"/>
      <c r="I26" s="20">
        <v>0.0</v>
      </c>
      <c r="J26" s="18">
        <v>0.0</v>
      </c>
      <c r="K26" s="18">
        <v>0.0</v>
      </c>
      <c r="L26" s="15">
        <f t="shared" si="2"/>
        <v>0</v>
      </c>
      <c r="M26" s="19">
        <f t="shared" si="3"/>
        <v>0</v>
      </c>
      <c r="N26" s="24"/>
      <c r="O26" s="22">
        <v>0.0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5" t="s">
        <v>39</v>
      </c>
      <c r="B27" s="15" t="s">
        <v>22</v>
      </c>
      <c r="C27" s="16">
        <v>40.0</v>
      </c>
      <c r="D27" s="17">
        <v>0.0</v>
      </c>
      <c r="E27" s="18">
        <v>0.0</v>
      </c>
      <c r="F27" s="15">
        <f t="shared" si="4"/>
        <v>0</v>
      </c>
      <c r="G27" s="19">
        <f t="shared" si="1"/>
        <v>0</v>
      </c>
      <c r="H27" s="18"/>
      <c r="I27" s="20">
        <v>0.0</v>
      </c>
      <c r="J27" s="18">
        <v>0.0</v>
      </c>
      <c r="K27" s="18">
        <v>0.0</v>
      </c>
      <c r="L27" s="15">
        <f t="shared" si="2"/>
        <v>0</v>
      </c>
      <c r="M27" s="19">
        <f t="shared" si="3"/>
        <v>0</v>
      </c>
      <c r="N27" s="24"/>
      <c r="O27" s="22">
        <v>0.0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5" t="s">
        <v>40</v>
      </c>
      <c r="B28" s="15" t="s">
        <v>17</v>
      </c>
      <c r="C28" s="16">
        <v>40.0</v>
      </c>
      <c r="D28" s="17">
        <v>0.0</v>
      </c>
      <c r="E28" s="18">
        <v>0.0</v>
      </c>
      <c r="F28" s="15">
        <f t="shared" si="4"/>
        <v>0</v>
      </c>
      <c r="G28" s="19">
        <f t="shared" si="1"/>
        <v>0</v>
      </c>
      <c r="H28" s="18"/>
      <c r="I28" s="20">
        <v>0.0</v>
      </c>
      <c r="J28" s="18">
        <v>0.0</v>
      </c>
      <c r="K28" s="18">
        <v>0.0</v>
      </c>
      <c r="L28" s="15">
        <f t="shared" si="2"/>
        <v>0</v>
      </c>
      <c r="M28" s="19">
        <f t="shared" si="3"/>
        <v>0</v>
      </c>
      <c r="N28" s="24"/>
      <c r="O28" s="22">
        <v>0.0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5" t="s">
        <v>41</v>
      </c>
      <c r="B29" s="15" t="s">
        <v>22</v>
      </c>
      <c r="C29" s="16">
        <v>40.0</v>
      </c>
      <c r="D29" s="17">
        <v>0.0</v>
      </c>
      <c r="E29" s="18">
        <v>0.0</v>
      </c>
      <c r="F29" s="15">
        <f t="shared" si="4"/>
        <v>0</v>
      </c>
      <c r="G29" s="19">
        <f t="shared" si="1"/>
        <v>0</v>
      </c>
      <c r="H29" s="18"/>
      <c r="I29" s="20">
        <v>0.0</v>
      </c>
      <c r="J29" s="18">
        <v>0.0</v>
      </c>
      <c r="K29" s="18">
        <v>0.0</v>
      </c>
      <c r="L29" s="15">
        <f t="shared" si="2"/>
        <v>0</v>
      </c>
      <c r="M29" s="19">
        <f t="shared" si="3"/>
        <v>0</v>
      </c>
      <c r="N29" s="24"/>
      <c r="O29" s="22">
        <v>0.0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5" t="s">
        <v>42</v>
      </c>
      <c r="B30" s="15" t="s">
        <v>17</v>
      </c>
      <c r="C30" s="16">
        <v>40.0</v>
      </c>
      <c r="D30" s="17">
        <v>0.0</v>
      </c>
      <c r="E30" s="18">
        <v>0.0</v>
      </c>
      <c r="F30" s="15">
        <f t="shared" si="4"/>
        <v>0</v>
      </c>
      <c r="G30" s="19">
        <f t="shared" si="1"/>
        <v>0</v>
      </c>
      <c r="H30" s="18"/>
      <c r="I30" s="20">
        <v>0.0</v>
      </c>
      <c r="J30" s="18">
        <v>0.0</v>
      </c>
      <c r="K30" s="18">
        <v>0.0</v>
      </c>
      <c r="L30" s="15">
        <f t="shared" si="2"/>
        <v>0</v>
      </c>
      <c r="M30" s="19">
        <f t="shared" si="3"/>
        <v>0</v>
      </c>
      <c r="N30" s="24"/>
      <c r="O30" s="22">
        <v>0.0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5" t="s">
        <v>43</v>
      </c>
      <c r="B31" s="15" t="s">
        <v>17</v>
      </c>
      <c r="C31" s="16">
        <v>40.0</v>
      </c>
      <c r="D31" s="17">
        <v>0.0</v>
      </c>
      <c r="E31" s="18">
        <v>0.0</v>
      </c>
      <c r="F31" s="15">
        <f t="shared" si="4"/>
        <v>0</v>
      </c>
      <c r="G31" s="19">
        <f t="shared" si="1"/>
        <v>0</v>
      </c>
      <c r="H31" s="18"/>
      <c r="I31" s="20">
        <v>0.0</v>
      </c>
      <c r="J31" s="18">
        <v>0.0</v>
      </c>
      <c r="K31" s="18">
        <v>0.0</v>
      </c>
      <c r="L31" s="15">
        <f t="shared" si="2"/>
        <v>0</v>
      </c>
      <c r="M31" s="19">
        <f t="shared" si="3"/>
        <v>0</v>
      </c>
      <c r="N31" s="24"/>
      <c r="O31" s="22">
        <v>0.0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5" t="s">
        <v>44</v>
      </c>
      <c r="B32" s="15" t="s">
        <v>17</v>
      </c>
      <c r="C32" s="16">
        <v>40.0</v>
      </c>
      <c r="D32" s="17">
        <v>0.0</v>
      </c>
      <c r="E32" s="18">
        <v>0.0</v>
      </c>
      <c r="F32" s="15">
        <f t="shared" si="4"/>
        <v>0</v>
      </c>
      <c r="G32" s="19">
        <f t="shared" si="1"/>
        <v>0</v>
      </c>
      <c r="H32" s="18"/>
      <c r="I32" s="20">
        <v>0.0</v>
      </c>
      <c r="J32" s="18">
        <v>0.0</v>
      </c>
      <c r="K32" s="18">
        <v>0.0</v>
      </c>
      <c r="L32" s="15">
        <f t="shared" si="2"/>
        <v>0</v>
      </c>
      <c r="M32" s="19">
        <f t="shared" si="3"/>
        <v>0</v>
      </c>
      <c r="N32" s="24"/>
      <c r="O32" s="22">
        <v>0.0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5" t="s">
        <v>45</v>
      </c>
      <c r="B33" s="15" t="s">
        <v>22</v>
      </c>
      <c r="C33" s="16">
        <v>40.0</v>
      </c>
      <c r="D33" s="17">
        <v>0.0</v>
      </c>
      <c r="E33" s="18">
        <v>0.0</v>
      </c>
      <c r="F33" s="15">
        <f t="shared" si="4"/>
        <v>0</v>
      </c>
      <c r="G33" s="19">
        <f t="shared" si="1"/>
        <v>0</v>
      </c>
      <c r="H33" s="18"/>
      <c r="I33" s="20">
        <v>0.0</v>
      </c>
      <c r="J33" s="18">
        <v>0.0</v>
      </c>
      <c r="K33" s="18">
        <v>0.0</v>
      </c>
      <c r="L33" s="15">
        <f t="shared" si="2"/>
        <v>0</v>
      </c>
      <c r="M33" s="19">
        <f t="shared" si="3"/>
        <v>0</v>
      </c>
      <c r="N33" s="24"/>
      <c r="O33" s="22">
        <v>0.0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5" t="s">
        <v>46</v>
      </c>
      <c r="B34" s="15" t="s">
        <v>17</v>
      </c>
      <c r="C34" s="16">
        <v>40.0</v>
      </c>
      <c r="D34" s="17">
        <v>0.0</v>
      </c>
      <c r="E34" s="18">
        <v>0.0</v>
      </c>
      <c r="F34" s="15">
        <f t="shared" si="4"/>
        <v>0</v>
      </c>
      <c r="G34" s="19">
        <f t="shared" si="1"/>
        <v>0</v>
      </c>
      <c r="H34" s="18"/>
      <c r="I34" s="20">
        <v>0.0</v>
      </c>
      <c r="J34" s="18">
        <v>0.0</v>
      </c>
      <c r="K34" s="18">
        <v>0.0</v>
      </c>
      <c r="L34" s="15">
        <f t="shared" si="2"/>
        <v>0</v>
      </c>
      <c r="M34" s="19">
        <f t="shared" si="3"/>
        <v>0</v>
      </c>
      <c r="N34" s="24"/>
      <c r="O34" s="22">
        <v>0.0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5" t="s">
        <v>47</v>
      </c>
      <c r="B35" s="15" t="s">
        <v>17</v>
      </c>
      <c r="C35" s="16">
        <v>40.0</v>
      </c>
      <c r="D35" s="17">
        <v>0.0</v>
      </c>
      <c r="E35" s="18">
        <v>0.0</v>
      </c>
      <c r="F35" s="15">
        <f t="shared" si="4"/>
        <v>0</v>
      </c>
      <c r="G35" s="19">
        <f t="shared" si="1"/>
        <v>0</v>
      </c>
      <c r="H35" s="18"/>
      <c r="I35" s="20">
        <v>0.0</v>
      </c>
      <c r="J35" s="18">
        <v>0.0</v>
      </c>
      <c r="K35" s="18">
        <v>0.0</v>
      </c>
      <c r="L35" s="15">
        <f t="shared" si="2"/>
        <v>0</v>
      </c>
      <c r="M35" s="19">
        <f t="shared" si="3"/>
        <v>0</v>
      </c>
      <c r="N35" s="24"/>
      <c r="O35" s="22">
        <v>0.0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5" t="s">
        <v>48</v>
      </c>
      <c r="B36" s="15" t="s">
        <v>22</v>
      </c>
      <c r="C36" s="16">
        <v>40.0</v>
      </c>
      <c r="D36" s="17">
        <v>0.0</v>
      </c>
      <c r="E36" s="18">
        <v>0.0</v>
      </c>
      <c r="F36" s="15">
        <f t="shared" si="4"/>
        <v>0</v>
      </c>
      <c r="G36" s="19">
        <f t="shared" si="1"/>
        <v>0</v>
      </c>
      <c r="H36" s="18"/>
      <c r="I36" s="20">
        <v>0.0</v>
      </c>
      <c r="J36" s="18">
        <v>0.0</v>
      </c>
      <c r="K36" s="18">
        <v>0.0</v>
      </c>
      <c r="L36" s="15">
        <f t="shared" si="2"/>
        <v>0</v>
      </c>
      <c r="M36" s="19">
        <f t="shared" si="3"/>
        <v>0</v>
      </c>
      <c r="N36" s="24"/>
      <c r="O36" s="22">
        <v>0.0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5" t="s">
        <v>49</v>
      </c>
      <c r="B37" s="15" t="s">
        <v>17</v>
      </c>
      <c r="C37" s="16">
        <v>40.0</v>
      </c>
      <c r="D37" s="17">
        <v>0.0</v>
      </c>
      <c r="E37" s="18">
        <v>0.0</v>
      </c>
      <c r="F37" s="15">
        <f t="shared" si="4"/>
        <v>0</v>
      </c>
      <c r="G37" s="19">
        <f t="shared" si="1"/>
        <v>0</v>
      </c>
      <c r="H37" s="18"/>
      <c r="I37" s="20">
        <v>0.0</v>
      </c>
      <c r="J37" s="18">
        <v>0.0</v>
      </c>
      <c r="K37" s="18">
        <v>0.0</v>
      </c>
      <c r="L37" s="15">
        <f t="shared" si="2"/>
        <v>0</v>
      </c>
      <c r="M37" s="19">
        <f t="shared" si="3"/>
        <v>0</v>
      </c>
      <c r="N37" s="24"/>
      <c r="O37" s="22">
        <v>0.0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5" t="s">
        <v>50</v>
      </c>
      <c r="B38" s="15" t="s">
        <v>22</v>
      </c>
      <c r="C38" s="16">
        <v>40.0</v>
      </c>
      <c r="D38" s="17">
        <v>0.0</v>
      </c>
      <c r="E38" s="18">
        <v>0.0</v>
      </c>
      <c r="F38" s="15">
        <f t="shared" si="4"/>
        <v>0</v>
      </c>
      <c r="G38" s="19">
        <f t="shared" si="1"/>
        <v>0</v>
      </c>
      <c r="H38" s="18"/>
      <c r="I38" s="20">
        <v>0.0</v>
      </c>
      <c r="J38" s="18">
        <v>0.0</v>
      </c>
      <c r="K38" s="18">
        <v>0.0</v>
      </c>
      <c r="L38" s="15">
        <f t="shared" si="2"/>
        <v>0</v>
      </c>
      <c r="M38" s="19">
        <f t="shared" si="3"/>
        <v>0</v>
      </c>
      <c r="N38" s="24"/>
      <c r="O38" s="22">
        <v>0.0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5" t="s">
        <v>51</v>
      </c>
      <c r="B39" s="15" t="s">
        <v>17</v>
      </c>
      <c r="C39" s="16">
        <v>40.0</v>
      </c>
      <c r="D39" s="17">
        <v>0.0</v>
      </c>
      <c r="E39" s="18">
        <v>0.0</v>
      </c>
      <c r="F39" s="15">
        <f t="shared" si="4"/>
        <v>0</v>
      </c>
      <c r="G39" s="19">
        <f t="shared" si="1"/>
        <v>0</v>
      </c>
      <c r="H39" s="18"/>
      <c r="I39" s="20">
        <v>0.0</v>
      </c>
      <c r="J39" s="18">
        <v>0.0</v>
      </c>
      <c r="K39" s="18">
        <v>0.0</v>
      </c>
      <c r="L39" s="15">
        <f t="shared" si="2"/>
        <v>0</v>
      </c>
      <c r="M39" s="19">
        <f t="shared" si="3"/>
        <v>0</v>
      </c>
      <c r="N39" s="24"/>
      <c r="O39" s="22">
        <v>0.0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5" t="s">
        <v>52</v>
      </c>
      <c r="B40" s="15" t="s">
        <v>22</v>
      </c>
      <c r="C40" s="16">
        <v>40.0</v>
      </c>
      <c r="D40" s="17">
        <v>0.0</v>
      </c>
      <c r="E40" s="18">
        <v>0.0</v>
      </c>
      <c r="F40" s="15">
        <f t="shared" si="4"/>
        <v>0</v>
      </c>
      <c r="G40" s="19">
        <f t="shared" si="1"/>
        <v>0</v>
      </c>
      <c r="H40" s="18"/>
      <c r="I40" s="20">
        <v>0.0</v>
      </c>
      <c r="J40" s="18">
        <v>0.0</v>
      </c>
      <c r="K40" s="18">
        <v>0.0</v>
      </c>
      <c r="L40" s="15">
        <f t="shared" si="2"/>
        <v>0</v>
      </c>
      <c r="M40" s="19">
        <f t="shared" si="3"/>
        <v>0</v>
      </c>
      <c r="N40" s="24"/>
      <c r="O40" s="22">
        <v>0.0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5" t="s">
        <v>53</v>
      </c>
      <c r="B41" s="15" t="s">
        <v>17</v>
      </c>
      <c r="C41" s="16">
        <v>40.0</v>
      </c>
      <c r="D41" s="17">
        <v>0.0</v>
      </c>
      <c r="E41" s="18">
        <v>0.0</v>
      </c>
      <c r="F41" s="15">
        <f t="shared" si="4"/>
        <v>0</v>
      </c>
      <c r="G41" s="19">
        <f t="shared" si="1"/>
        <v>0</v>
      </c>
      <c r="H41" s="18"/>
      <c r="I41" s="20">
        <v>0.0</v>
      </c>
      <c r="J41" s="18">
        <v>0.0</v>
      </c>
      <c r="K41" s="18">
        <v>0.0</v>
      </c>
      <c r="L41" s="15">
        <f t="shared" si="2"/>
        <v>0</v>
      </c>
      <c r="M41" s="19">
        <f t="shared" si="3"/>
        <v>0</v>
      </c>
      <c r="N41" s="24"/>
      <c r="O41" s="22">
        <v>0.0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4.75" customHeight="1">
      <c r="A42" s="25" t="s">
        <v>54</v>
      </c>
      <c r="B42" s="26"/>
      <c r="C42" s="27"/>
      <c r="D42" s="27"/>
      <c r="E42" s="27"/>
      <c r="F42" s="28">
        <f t="shared" ref="F42:G42" si="5">SUM (F4:F41)</f>
        <v>0</v>
      </c>
      <c r="G42" s="29">
        <f t="shared" si="5"/>
        <v>0</v>
      </c>
      <c r="H42" s="30"/>
      <c r="I42" s="30"/>
      <c r="J42" s="30"/>
      <c r="K42" s="30"/>
      <c r="L42" s="31">
        <f t="shared" ref="L42:M42" si="6">SUM (L4:L41)</f>
        <v>0</v>
      </c>
      <c r="M42" s="32">
        <f t="shared" si="6"/>
        <v>0</v>
      </c>
      <c r="N42" s="33"/>
      <c r="O42" s="34">
        <f>SUM (O4:O41)</f>
        <v>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7.75" customHeight="1">
      <c r="A43" s="35" t="s">
        <v>55</v>
      </c>
      <c r="B43" s="36">
        <f>SUM(G42+M42+O42)</f>
        <v>0</v>
      </c>
      <c r="C43" s="37"/>
      <c r="D43" s="37"/>
      <c r="E43" s="37"/>
      <c r="F43" s="37"/>
      <c r="G43" s="38"/>
      <c r="H43" s="38"/>
      <c r="I43" s="38"/>
      <c r="J43" s="39"/>
      <c r="K43" s="39"/>
      <c r="L43" s="39"/>
      <c r="M43" s="39"/>
      <c r="N43" s="39"/>
      <c r="O43" s="39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0.0" customHeight="1">
      <c r="A44" s="40" t="s">
        <v>56</v>
      </c>
      <c r="B44" s="41" t="s">
        <v>57</v>
      </c>
      <c r="C44" s="42" t="s">
        <v>58</v>
      </c>
      <c r="D44" s="43" t="s">
        <v>59</v>
      </c>
      <c r="E44" s="44" t="s">
        <v>60</v>
      </c>
      <c r="F44" s="44" t="s">
        <v>61</v>
      </c>
      <c r="G44" s="38"/>
      <c r="H44" s="38"/>
      <c r="I44" s="38"/>
      <c r="J44" s="39"/>
      <c r="K44" s="39"/>
      <c r="L44" s="39"/>
      <c r="M44" s="39"/>
      <c r="N44" s="39"/>
      <c r="O44" s="39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5" t="s">
        <v>62</v>
      </c>
      <c r="B45" s="46">
        <v>0.0</v>
      </c>
      <c r="C45" s="47">
        <f>(B43*B45)+B43</f>
        <v>0</v>
      </c>
      <c r="D45" s="48">
        <f>B43</f>
        <v>0</v>
      </c>
      <c r="E45" s="49">
        <f t="shared" ref="E45:E56" si="7">(C45-D45)</f>
        <v>0</v>
      </c>
      <c r="F45" s="50" t="str">
        <f t="shared" ref="F45:F56" si="8">(E45 / D45)</f>
        <v>#DIV/0!</v>
      </c>
      <c r="G45" s="38"/>
      <c r="H45" s="38"/>
      <c r="I45" s="38"/>
      <c r="J45" s="39"/>
      <c r="K45" s="39"/>
      <c r="L45" s="39"/>
      <c r="M45" s="39"/>
      <c r="N45" s="39"/>
      <c r="O45" s="39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5" t="s">
        <v>63</v>
      </c>
      <c r="B46" s="46">
        <v>0.25</v>
      </c>
      <c r="C46" s="47">
        <f>(B43*B46)+B43</f>
        <v>0</v>
      </c>
      <c r="D46" s="48">
        <f>B43</f>
        <v>0</v>
      </c>
      <c r="E46" s="49">
        <f t="shared" si="7"/>
        <v>0</v>
      </c>
      <c r="F46" s="50" t="str">
        <f t="shared" si="8"/>
        <v>#DIV/0!</v>
      </c>
      <c r="G46" s="38"/>
      <c r="H46" s="38"/>
      <c r="I46" s="38"/>
      <c r="J46" s="39"/>
      <c r="K46" s="39"/>
      <c r="L46" s="39"/>
      <c r="M46" s="39"/>
      <c r="N46" s="39"/>
      <c r="O46" s="39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5" t="s">
        <v>64</v>
      </c>
      <c r="B47" s="46">
        <v>0.3</v>
      </c>
      <c r="C47" s="47">
        <f>(B43*B47)+B43</f>
        <v>0</v>
      </c>
      <c r="D47" s="48">
        <f>B43</f>
        <v>0</v>
      </c>
      <c r="E47" s="49">
        <f t="shared" si="7"/>
        <v>0</v>
      </c>
      <c r="F47" s="50" t="str">
        <f t="shared" si="8"/>
        <v>#DIV/0!</v>
      </c>
      <c r="G47" s="38"/>
      <c r="H47" s="38"/>
      <c r="I47" s="38"/>
      <c r="J47" s="39"/>
      <c r="K47" s="39"/>
      <c r="L47" s="39"/>
      <c r="M47" s="39"/>
      <c r="N47" s="39"/>
      <c r="O47" s="39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5" t="s">
        <v>65</v>
      </c>
      <c r="B48" s="46">
        <v>0.35</v>
      </c>
      <c r="C48" s="47">
        <f>(B43*B48)+B43</f>
        <v>0</v>
      </c>
      <c r="D48" s="48">
        <f>B43</f>
        <v>0</v>
      </c>
      <c r="E48" s="49">
        <f t="shared" si="7"/>
        <v>0</v>
      </c>
      <c r="F48" s="50" t="str">
        <f t="shared" si="8"/>
        <v>#DIV/0!</v>
      </c>
      <c r="G48" s="38"/>
      <c r="H48" s="38"/>
      <c r="I48" s="38"/>
      <c r="J48" s="39"/>
      <c r="K48" s="39"/>
      <c r="L48" s="39"/>
      <c r="M48" s="39"/>
      <c r="N48" s="39"/>
      <c r="O48" s="39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5" t="s">
        <v>66</v>
      </c>
      <c r="B49" s="46">
        <v>0.4</v>
      </c>
      <c r="C49" s="47">
        <f>(B43*B49)+B43</f>
        <v>0</v>
      </c>
      <c r="D49" s="48">
        <f>B43</f>
        <v>0</v>
      </c>
      <c r="E49" s="49">
        <f t="shared" si="7"/>
        <v>0</v>
      </c>
      <c r="F49" s="50" t="str">
        <f t="shared" si="8"/>
        <v>#DIV/0!</v>
      </c>
      <c r="G49" s="38"/>
      <c r="H49" s="38"/>
      <c r="I49" s="38"/>
      <c r="J49" s="39"/>
      <c r="K49" s="39"/>
      <c r="L49" s="39"/>
      <c r="M49" s="39"/>
      <c r="N49" s="39"/>
      <c r="O49" s="39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5" t="s">
        <v>67</v>
      </c>
      <c r="B50" s="46">
        <v>0.45</v>
      </c>
      <c r="C50" s="47">
        <f>(B43*B50)+B43</f>
        <v>0</v>
      </c>
      <c r="D50" s="48">
        <f>B43</f>
        <v>0</v>
      </c>
      <c r="E50" s="49">
        <f t="shared" si="7"/>
        <v>0</v>
      </c>
      <c r="F50" s="50" t="str">
        <f t="shared" si="8"/>
        <v>#DIV/0!</v>
      </c>
      <c r="G50" s="38"/>
      <c r="H50" s="38"/>
      <c r="I50" s="38"/>
      <c r="J50" s="39"/>
      <c r="K50" s="39"/>
      <c r="L50" s="39"/>
      <c r="M50" s="39"/>
      <c r="N50" s="39"/>
      <c r="O50" s="39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5" t="s">
        <v>68</v>
      </c>
      <c r="B51" s="46">
        <v>0.5</v>
      </c>
      <c r="C51" s="47">
        <f>(B43*B51)+B43</f>
        <v>0</v>
      </c>
      <c r="D51" s="48">
        <f>B43</f>
        <v>0</v>
      </c>
      <c r="E51" s="49">
        <f t="shared" si="7"/>
        <v>0</v>
      </c>
      <c r="F51" s="50" t="str">
        <f t="shared" si="8"/>
        <v>#DIV/0!</v>
      </c>
      <c r="G51" s="38"/>
      <c r="H51" s="38"/>
      <c r="I51" s="38"/>
      <c r="J51" s="39"/>
      <c r="K51" s="39"/>
      <c r="L51" s="39"/>
      <c r="M51" s="39"/>
      <c r="N51" s="39"/>
      <c r="O51" s="39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5" t="s">
        <v>69</v>
      </c>
      <c r="B52" s="46">
        <v>0.55</v>
      </c>
      <c r="C52" s="47">
        <f>(B43*B52)+B43</f>
        <v>0</v>
      </c>
      <c r="D52" s="48">
        <f>B43</f>
        <v>0</v>
      </c>
      <c r="E52" s="49">
        <f t="shared" si="7"/>
        <v>0</v>
      </c>
      <c r="F52" s="50" t="str">
        <f t="shared" si="8"/>
        <v>#DIV/0!</v>
      </c>
      <c r="G52" s="38"/>
      <c r="H52" s="38"/>
      <c r="I52" s="38"/>
      <c r="J52" s="39"/>
      <c r="K52" s="39"/>
      <c r="L52" s="39"/>
      <c r="M52" s="39"/>
      <c r="N52" s="39"/>
      <c r="O52" s="39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5" t="s">
        <v>70</v>
      </c>
      <c r="B53" s="46">
        <v>0.6</v>
      </c>
      <c r="C53" s="47">
        <f>(B43*B53)+B43</f>
        <v>0</v>
      </c>
      <c r="D53" s="48">
        <f>B43</f>
        <v>0</v>
      </c>
      <c r="E53" s="49">
        <f t="shared" si="7"/>
        <v>0</v>
      </c>
      <c r="F53" s="50" t="str">
        <f t="shared" si="8"/>
        <v>#DIV/0!</v>
      </c>
      <c r="G53" s="38"/>
      <c r="H53" s="38"/>
      <c r="I53" s="38"/>
      <c r="J53" s="39"/>
      <c r="K53" s="39"/>
      <c r="L53" s="39"/>
      <c r="M53" s="39"/>
      <c r="N53" s="39"/>
      <c r="O53" s="39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5" t="s">
        <v>71</v>
      </c>
      <c r="B54" s="46">
        <v>0.65</v>
      </c>
      <c r="C54" s="47">
        <f>(B43*B54)+B43</f>
        <v>0</v>
      </c>
      <c r="D54" s="48">
        <f>B43</f>
        <v>0</v>
      </c>
      <c r="E54" s="49">
        <f t="shared" si="7"/>
        <v>0</v>
      </c>
      <c r="F54" s="50" t="str">
        <f t="shared" si="8"/>
        <v>#DIV/0!</v>
      </c>
      <c r="G54" s="38"/>
      <c r="H54" s="38"/>
      <c r="I54" s="38"/>
      <c r="J54" s="39"/>
      <c r="K54" s="39"/>
      <c r="L54" s="39"/>
      <c r="M54" s="39"/>
      <c r="N54" s="39"/>
      <c r="O54" s="39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5" t="s">
        <v>72</v>
      </c>
      <c r="B55" s="46">
        <v>0.7</v>
      </c>
      <c r="C55" s="47">
        <f>(B43*B55)+B43</f>
        <v>0</v>
      </c>
      <c r="D55" s="48">
        <f>B43</f>
        <v>0</v>
      </c>
      <c r="E55" s="49">
        <f t="shared" si="7"/>
        <v>0</v>
      </c>
      <c r="F55" s="50" t="str">
        <f t="shared" si="8"/>
        <v>#DIV/0!</v>
      </c>
      <c r="G55" s="38"/>
      <c r="H55" s="38"/>
      <c r="I55" s="38"/>
      <c r="J55" s="39"/>
      <c r="K55" s="39"/>
      <c r="L55" s="39"/>
      <c r="M55" s="39"/>
      <c r="N55" s="39"/>
      <c r="O55" s="39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5" t="s">
        <v>73</v>
      </c>
      <c r="B56" s="46">
        <v>0.75</v>
      </c>
      <c r="C56" s="47">
        <f>(B43*B56)+B43</f>
        <v>0</v>
      </c>
      <c r="D56" s="48">
        <f>B43</f>
        <v>0</v>
      </c>
      <c r="E56" s="49">
        <f t="shared" si="7"/>
        <v>0</v>
      </c>
      <c r="F56" s="50" t="str">
        <f t="shared" si="8"/>
        <v>#DIV/0!</v>
      </c>
      <c r="G56" s="38"/>
      <c r="H56" s="38"/>
      <c r="I56" s="38"/>
      <c r="J56" s="39"/>
      <c r="K56" s="39"/>
      <c r="L56" s="39"/>
      <c r="M56" s="39"/>
      <c r="N56" s="39"/>
      <c r="O56" s="39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32.25" customHeight="1">
      <c r="A57" s="40" t="s">
        <v>74</v>
      </c>
      <c r="B57" s="51"/>
      <c r="C57" s="52"/>
      <c r="D57" s="53"/>
      <c r="E57" s="54"/>
      <c r="F57" s="55"/>
      <c r="G57" s="38"/>
      <c r="H57" s="38"/>
      <c r="I57" s="38"/>
      <c r="J57" s="39"/>
      <c r="K57" s="39"/>
      <c r="L57" s="39"/>
      <c r="M57" s="39"/>
      <c r="N57" s="39"/>
      <c r="O57" s="39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1.0" customHeight="1">
      <c r="A58" s="56" t="s">
        <v>75</v>
      </c>
      <c r="B58" s="47">
        <v>0.0</v>
      </c>
      <c r="C58" s="37"/>
      <c r="D58" s="37"/>
      <c r="E58" s="57"/>
      <c r="F58" s="57"/>
      <c r="G58" s="39"/>
      <c r="H58" s="39"/>
      <c r="I58" s="39"/>
      <c r="J58" s="39"/>
      <c r="K58" s="39"/>
      <c r="L58" s="39"/>
      <c r="M58" s="39"/>
      <c r="N58" s="39"/>
      <c r="O58" s="39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5.5" customHeight="1">
      <c r="A59" s="56" t="s">
        <v>76</v>
      </c>
      <c r="B59" s="47">
        <v>0.0</v>
      </c>
      <c r="C59" s="37"/>
      <c r="D59" s="37"/>
      <c r="E59" s="57"/>
      <c r="F59" s="57"/>
      <c r="G59" s="39"/>
      <c r="H59" s="39"/>
      <c r="I59" s="39"/>
      <c r="J59" s="39"/>
      <c r="K59" s="39"/>
      <c r="L59" s="39"/>
      <c r="M59" s="39"/>
      <c r="N59" s="39"/>
      <c r="O59" s="39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3.0" customHeight="1">
      <c r="A60" s="40" t="s">
        <v>77</v>
      </c>
      <c r="B60" s="51"/>
      <c r="C60" s="58"/>
      <c r="D60" s="58"/>
      <c r="E60" s="58"/>
      <c r="F60" s="58"/>
      <c r="G60" s="39"/>
      <c r="H60" s="39"/>
      <c r="I60" s="39"/>
      <c r="J60" s="39"/>
      <c r="K60" s="39"/>
      <c r="L60" s="39"/>
      <c r="M60" s="39"/>
      <c r="N60" s="39"/>
      <c r="O60" s="39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7.0" customHeight="1">
      <c r="A61" s="59" t="s">
        <v>78</v>
      </c>
      <c r="B61" s="47">
        <v>0.0</v>
      </c>
      <c r="C61" s="58"/>
      <c r="D61" s="58"/>
      <c r="E61" s="60"/>
      <c r="F61" s="60"/>
      <c r="G61" s="38"/>
      <c r="H61" s="38"/>
      <c r="I61" s="38"/>
      <c r="J61" s="39"/>
      <c r="K61" s="39"/>
      <c r="L61" s="39"/>
      <c r="M61" s="39"/>
      <c r="N61" s="39"/>
      <c r="O61" s="39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1.5" customHeight="1">
      <c r="A62" s="40" t="s">
        <v>79</v>
      </c>
      <c r="B62" s="61" t="s">
        <v>80</v>
      </c>
      <c r="C62" s="37"/>
      <c r="D62" s="37"/>
      <c r="E62" s="37"/>
      <c r="F62" s="57"/>
      <c r="G62" s="39"/>
      <c r="H62" s="38"/>
      <c r="I62" s="38"/>
      <c r="J62" s="39"/>
      <c r="K62" s="39"/>
      <c r="L62" s="39"/>
      <c r="M62" s="39"/>
      <c r="N62" s="39"/>
      <c r="O62" s="39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33.75" customHeight="1">
      <c r="A63" s="45" t="s">
        <v>81</v>
      </c>
      <c r="B63" s="62">
        <v>0.0</v>
      </c>
      <c r="C63" s="37"/>
      <c r="D63" s="37"/>
      <c r="E63" s="37"/>
      <c r="F63" s="57"/>
      <c r="G63" s="39"/>
      <c r="H63" s="39"/>
      <c r="I63" s="39"/>
      <c r="J63" s="39"/>
      <c r="K63" s="39"/>
      <c r="L63" s="39"/>
      <c r="M63" s="39"/>
      <c r="N63" s="39"/>
      <c r="O63" s="39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33.75" customHeight="1">
      <c r="A64" s="45" t="s">
        <v>82</v>
      </c>
      <c r="B64" s="62">
        <v>0.0</v>
      </c>
      <c r="C64" s="37"/>
      <c r="D64" s="37"/>
      <c r="E64" s="37"/>
      <c r="F64" s="57"/>
      <c r="G64" s="39"/>
      <c r="H64" s="39"/>
      <c r="I64" s="39"/>
      <c r="J64" s="39"/>
      <c r="K64" s="39"/>
      <c r="L64" s="39"/>
      <c r="M64" s="39"/>
      <c r="N64" s="39"/>
      <c r="O64" s="39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33.75" customHeight="1">
      <c r="A65" s="45" t="s">
        <v>83</v>
      </c>
      <c r="B65" s="62">
        <v>0.0</v>
      </c>
      <c r="C65" s="37"/>
      <c r="D65" s="37"/>
      <c r="E65" s="37"/>
      <c r="F65" s="57"/>
      <c r="G65" s="39"/>
      <c r="H65" s="39"/>
      <c r="I65" s="39"/>
      <c r="J65" s="39"/>
      <c r="K65" s="39"/>
      <c r="L65" s="39"/>
      <c r="M65" s="39"/>
      <c r="N65" s="39"/>
      <c r="O65" s="39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33.75" customHeight="1">
      <c r="A66" s="45" t="s">
        <v>84</v>
      </c>
      <c r="B66" s="62">
        <v>0.0</v>
      </c>
      <c r="C66" s="37"/>
      <c r="D66" s="37"/>
      <c r="E66" s="37"/>
      <c r="F66" s="57"/>
      <c r="G66" s="39"/>
      <c r="H66" s="39"/>
      <c r="I66" s="39"/>
      <c r="J66" s="39"/>
      <c r="K66" s="39"/>
      <c r="L66" s="39"/>
      <c r="M66" s="39"/>
      <c r="N66" s="39"/>
      <c r="O66" s="39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33.75" customHeight="1">
      <c r="A67" s="25" t="s">
        <v>85</v>
      </c>
      <c r="B67" s="63">
        <f>SUM (B63:B66)</f>
        <v>0</v>
      </c>
      <c r="C67" s="37"/>
      <c r="D67" s="37"/>
      <c r="E67" s="37"/>
      <c r="F67" s="57"/>
      <c r="G67" s="39"/>
      <c r="H67" s="39"/>
      <c r="I67" s="39"/>
      <c r="J67" s="39"/>
      <c r="K67" s="39"/>
      <c r="L67" s="39"/>
      <c r="M67" s="39"/>
      <c r="N67" s="39"/>
      <c r="O67" s="39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30.0" customHeight="1">
      <c r="A68" s="64"/>
      <c r="B68" s="65"/>
      <c r="C68" s="66"/>
      <c r="D68" s="66"/>
      <c r="E68" s="38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30.0" customHeight="1">
      <c r="A69" s="64"/>
      <c r="B69" s="65"/>
      <c r="C69" s="66"/>
      <c r="D69" s="66"/>
      <c r="E69" s="38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30.0" customHeight="1">
      <c r="A70" s="64"/>
      <c r="B70" s="65"/>
      <c r="C70" s="66"/>
      <c r="D70" s="66"/>
      <c r="E70" s="38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30.0" customHeight="1">
      <c r="A71" s="64"/>
      <c r="B71" s="65"/>
      <c r="C71" s="66"/>
      <c r="D71" s="66"/>
      <c r="E71" s="38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30.0" customHeight="1">
      <c r="A72" s="64"/>
      <c r="B72" s="65"/>
      <c r="C72" s="66"/>
      <c r="D72" s="66"/>
      <c r="E72" s="38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30.0" customHeight="1">
      <c r="A73" s="64"/>
      <c r="B73" s="65"/>
      <c r="C73" s="66"/>
      <c r="D73" s="66"/>
      <c r="E73" s="38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30.0" customHeight="1">
      <c r="A74" s="64"/>
      <c r="B74" s="65"/>
      <c r="C74" s="66"/>
      <c r="D74" s="66"/>
      <c r="E74" s="38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30.0" customHeight="1">
      <c r="A75" s="64"/>
      <c r="B75" s="65"/>
      <c r="C75" s="66"/>
      <c r="D75" s="66"/>
      <c r="E75" s="38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30.0" customHeight="1">
      <c r="A76" s="64"/>
      <c r="B76" s="65"/>
      <c r="C76" s="66"/>
      <c r="D76" s="66"/>
      <c r="E76" s="38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30.0" customHeight="1">
      <c r="A77" s="64"/>
      <c r="B77" s="65"/>
      <c r="C77" s="66"/>
      <c r="D77" s="66"/>
      <c r="E77" s="38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30.0" customHeight="1">
      <c r="A78" s="64"/>
      <c r="B78" s="65"/>
      <c r="C78" s="66"/>
      <c r="D78" s="66"/>
      <c r="E78" s="38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30.0" customHeight="1">
      <c r="A79" s="64"/>
      <c r="B79" s="65"/>
      <c r="C79" s="66"/>
      <c r="D79" s="66"/>
      <c r="E79" s="38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30.0" customHeight="1">
      <c r="A80" s="64"/>
      <c r="B80" s="65"/>
      <c r="C80" s="66"/>
      <c r="D80" s="66"/>
      <c r="E80" s="38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30.0" customHeight="1">
      <c r="A81" s="64"/>
      <c r="B81" s="65"/>
      <c r="C81" s="66"/>
      <c r="D81" s="66"/>
      <c r="E81" s="38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30.0" customHeight="1">
      <c r="A82" s="64"/>
      <c r="B82" s="65"/>
      <c r="C82" s="66"/>
      <c r="D82" s="66"/>
      <c r="E82" s="38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30.0" customHeight="1">
      <c r="A83" s="64"/>
      <c r="B83" s="65"/>
      <c r="C83" s="66"/>
      <c r="D83" s="66"/>
      <c r="E83" s="38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30.0" customHeight="1">
      <c r="A84" s="64"/>
      <c r="B84" s="65"/>
      <c r="C84" s="66"/>
      <c r="D84" s="66"/>
      <c r="E84" s="38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30.0" customHeight="1">
      <c r="A85" s="64"/>
      <c r="B85" s="65"/>
      <c r="C85" s="66"/>
      <c r="D85" s="66"/>
      <c r="E85" s="38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C2:G2"/>
    <mergeCell ref="H2:M2"/>
    <mergeCell ref="N2:O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