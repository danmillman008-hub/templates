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HEAD WORKSHEET" sheetId="1" r:id="rId4"/>
    <sheet state="visible" name="EMPLOYEES &amp; PRODUCTION HOURS" sheetId="2" r:id="rId5"/>
    <sheet state="visible" name="HOURLY BURN RATE" sheetId="3" r:id="rId6"/>
  </sheets>
  <definedNames/>
  <calcPr/>
  <extLst>
    <ext uri="GoogleSheetsCustomDataVersion1">
      <go:sheetsCustomData xmlns:go="http://customooxmlschemas.google.com/" r:id="rId7" roundtripDataSignature="AMtx7mj7OStXip0pKl03jfqVgw6mGAScYg=="/>
    </ext>
  </extLst>
</workbook>
</file>

<file path=xl/sharedStrings.xml><?xml version="1.0" encoding="utf-8"?>
<sst xmlns="http://schemas.openxmlformats.org/spreadsheetml/2006/main" count="30" uniqueCount="30">
  <si>
    <t>ANNUAL OVERHEAD (MONEY YOU NEED TO COVER YOUR COSTS)</t>
  </si>
  <si>
    <t>BUDGET CATEGORY</t>
  </si>
  <si>
    <t>ANNUAL PRODUCTION HOURS AVAILABLE</t>
  </si>
  <si>
    <t>HOURLY BURN RATE</t>
  </si>
  <si>
    <t>EMPLOYEE LIST</t>
  </si>
  <si>
    <t>PERCENTAGE OF TIME AVAILABLE FOR BILLABLE WORK</t>
  </si>
  <si>
    <t>ANNUAL PRODUCTION HOURS</t>
  </si>
  <si>
    <t>MONTHLY OVERHEAD COST</t>
  </si>
  <si>
    <t>ANNUAL OVERHEAD EXPENSE</t>
  </si>
  <si>
    <t>You (President &amp; ECD)</t>
  </si>
  <si>
    <t>Payroll</t>
  </si>
  <si>
    <t>Occupancy</t>
  </si>
  <si>
    <t>Sally (Art Director)</t>
  </si>
  <si>
    <t>Utilities</t>
  </si>
  <si>
    <t>John (Designer)</t>
  </si>
  <si>
    <t>Office Supplies</t>
  </si>
  <si>
    <t>Equipment</t>
  </si>
  <si>
    <t>Olga (Designer)</t>
  </si>
  <si>
    <t>Marketing &amp; Advertising</t>
  </si>
  <si>
    <t>Peter (Programmer)</t>
  </si>
  <si>
    <t>Health Insurance</t>
  </si>
  <si>
    <t>Anton (Account Manager)</t>
  </si>
  <si>
    <t>Subscriptions &amp; Software</t>
  </si>
  <si>
    <t>Sasha (Office Manager)</t>
  </si>
  <si>
    <t>Food</t>
  </si>
  <si>
    <t>Business Insurance</t>
  </si>
  <si>
    <t>Other</t>
  </si>
  <si>
    <t>TOTAL EXPENSES</t>
  </si>
  <si>
    <t>TOTAL ANNUAL PRODUCTION HOURS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</si>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</sst>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2">
    <font>
      <sz val="10.0"/>
      <color rgb="FF000000"/>
      <name val="Arial"/>
    </font>
    <font>
      <b/>
      <sz val="12.0"/>
      <color rgb="FFFFFFFF"/>
      <name val="Arial"/>
    </font>
    <font>
      <sz val="12.0"/>
      <color theme="1"/>
      <name val="Calibri"/>
    </font>
    <font>
      <sz val="18.0"/>
    </font>
    <font>
      <b/>
      <sz val="14.0"/>
      <color rgb="FFFFFFFF"/>
      <name val="Arial"/>
    </font>
    <font>
      <sz val="18.0"/>
      <color theme="1"/>
      <name val="Arial"/>
    </font>
    <font>
      <sz val="14.0"/>
      <color theme="1"/>
      <name val="Arial"/>
    </font>
    <font>
      <sz val="12.0"/>
      <color rgb="FF000000"/>
      <name val="Arial"/>
    </font>
    <font>
      <sz val="12.0"/>
      <color theme="1"/>
      <name val="Journal"/>
    </font>
    <font>
      <color theme="1"/>
      <name val="Calibri"/>
    </font>
    <font>
      <b/>
      <sz val="14.0"/>
      <color theme="1"/>
      <name val="Arial"/>
    </font>
    <font>
      <b/>
      <sz val="12.0"/>
      <color theme="1"/>
      <name val="Journ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right" shrinkToFit="0" vertical="bottom" wrapText="1"/>
    </xf>
    <xf borderId="0" fillId="0" fontId="2" numFmtId="49" xfId="0" applyAlignment="1" applyFont="1" applyNumberFormat="1">
      <alignment vertical="bottom"/>
    </xf>
    <xf borderId="0" fillId="3" fontId="3" numFmtId="164" xfId="0" applyAlignment="1" applyFill="1" applyFont="1" applyNumberFormat="1">
      <alignment readingOrder="0" shrinkToFit="0" vertical="bottom" wrapText="1"/>
    </xf>
    <xf borderId="0" fillId="4" fontId="3" numFmtId="0" xfId="0" applyAlignment="1" applyFill="1" applyFont="1">
      <alignment readingOrder="0" shrinkToFit="0" vertical="bottom" wrapText="1"/>
    </xf>
    <xf borderId="0" fillId="2" fontId="4" numFmtId="49" xfId="0" applyAlignment="1" applyFont="1" applyNumberFormat="1">
      <alignment horizontal="left" shrinkToFit="0" vertical="bottom" wrapText="1"/>
    </xf>
    <xf borderId="0" fillId="5" fontId="5" numFmtId="165" xfId="0" applyAlignment="1" applyFill="1" applyFont="1" applyNumberFormat="1">
      <alignment shrinkToFit="0" vertical="bottom" wrapText="1"/>
    </xf>
    <xf borderId="0" fillId="2" fontId="4" numFmtId="49" xfId="0" applyAlignment="1" applyFont="1" applyNumberFormat="1">
      <alignment horizontal="right" shrinkToFit="0" vertical="bottom" wrapText="1"/>
    </xf>
    <xf borderId="0" fillId="6" fontId="6" numFmtId="0" xfId="0" applyAlignment="1" applyFill="1" applyFont="1">
      <alignment vertical="bottom"/>
    </xf>
    <xf borderId="0" fillId="7" fontId="6" numFmtId="0" xfId="0" applyAlignment="1" applyFill="1" applyFont="1">
      <alignment vertical="bottom"/>
    </xf>
    <xf borderId="0" fillId="8" fontId="7" numFmtId="9" xfId="0" applyAlignment="1" applyFill="1" applyFont="1" applyNumberFormat="1">
      <alignment readingOrder="0"/>
    </xf>
    <xf borderId="0" fillId="5" fontId="7" numFmtId="164" xfId="0" applyAlignment="1" applyFont="1" applyNumberFormat="1">
      <alignment readingOrder="0"/>
    </xf>
    <xf borderId="0" fillId="8" fontId="8" numFmtId="0" xfId="0" applyFont="1"/>
    <xf borderId="0" fillId="5" fontId="8" numFmtId="164" xfId="0" applyFont="1" applyNumberFormat="1"/>
    <xf borderId="0" fillId="0" fontId="9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5" fontId="7" numFmtId="164" xfId="0" applyFont="1" applyNumberFormat="1"/>
    <xf borderId="0" fillId="9" fontId="5" numFmtId="164" xfId="0" applyAlignment="1" applyFill="1" applyFont="1" applyNumberFormat="1">
      <alignment shrinkToFit="0" vertical="bottom" wrapText="1"/>
    </xf>
    <xf borderId="0" fillId="9" fontId="5" numFmtId="0" xfId="0" applyAlignment="1" applyFont="1">
      <alignment shrinkToFit="0" vertical="bottom" wrapText="1"/>
    </xf>
    <xf borderId="0" fillId="8" fontId="7" numFmtId="9" xfId="0" applyFont="1" applyNumberFormat="1"/>
    <xf borderId="0" fillId="0" fontId="5" numFmtId="164" xfId="0" applyAlignment="1" applyFont="1" applyNumberForma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165" xfId="0" applyAlignment="1" applyFont="1" applyNumberFormat="1">
      <alignment shrinkToFit="0" vertical="bottom" wrapText="1"/>
    </xf>
    <xf borderId="0" fillId="10" fontId="10" numFmtId="0" xfId="0" applyFill="1" applyFont="1"/>
    <xf borderId="0" fillId="0" fontId="9" numFmtId="0" xfId="0" applyAlignment="1" applyFont="1">
      <alignment shrinkToFit="0" vertical="bottom" wrapText="1"/>
    </xf>
    <xf borderId="0" fillId="3" fontId="11" numFmtId="164" xfId="0" applyFont="1" applyNumberFormat="1"/>
    <xf borderId="0" fillId="3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2.57"/>
    <col customWidth="1" min="2" max="3" width="42.14"/>
    <col customWidth="1" min="4" max="6" width="14.43"/>
  </cols>
  <sheetData>
    <row r="1" ht="27.75" customHeight="1">
      <c r="A1" s="5" t="s">
        <v>1</v>
      </c>
      <c r="B1" s="7" t="s">
        <v>7</v>
      </c>
      <c r="C1" s="7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9" t="s">
        <v>10</v>
      </c>
      <c r="B2" s="11">
        <v>35500.0</v>
      </c>
      <c r="C2" s="13">
        <f t="shared" ref="C2:C13" si="1">SUM(B2*12)</f>
        <v>426000</v>
      </c>
      <c r="D2" s="14"/>
      <c r="E2" s="14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ht="15.75" customHeight="1">
      <c r="A3" s="9" t="s">
        <v>11</v>
      </c>
      <c r="B3" s="16">
        <v>3500.0</v>
      </c>
      <c r="C3" s="13">
        <f t="shared" si="1"/>
        <v>42000</v>
      </c>
      <c r="D3" s="14"/>
      <c r="E3" s="14"/>
      <c r="F3" s="1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ht="15.75" customHeight="1">
      <c r="A4" s="9" t="s">
        <v>13</v>
      </c>
      <c r="B4" s="16">
        <v>1000.0</v>
      </c>
      <c r="C4" s="13">
        <f t="shared" si="1"/>
        <v>12000</v>
      </c>
      <c r="D4" s="14"/>
      <c r="E4" s="14"/>
      <c r="F4" s="15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ht="15.75" customHeight="1">
      <c r="A5" s="9" t="s">
        <v>15</v>
      </c>
      <c r="B5" s="16">
        <v>500.0</v>
      </c>
      <c r="C5" s="13">
        <f t="shared" si="1"/>
        <v>6000</v>
      </c>
      <c r="D5" s="14"/>
      <c r="E5" s="14"/>
      <c r="F5" s="15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ht="15.75" customHeight="1">
      <c r="A6" s="9" t="s">
        <v>16</v>
      </c>
      <c r="B6" s="16">
        <v>1000.0</v>
      </c>
      <c r="C6" s="13">
        <f t="shared" si="1"/>
        <v>12000</v>
      </c>
      <c r="D6" s="14"/>
      <c r="E6" s="14"/>
      <c r="F6" s="15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ht="15.75" customHeight="1">
      <c r="A7" s="9" t="s">
        <v>18</v>
      </c>
      <c r="B7" s="16">
        <v>1500.0</v>
      </c>
      <c r="C7" s="13">
        <f t="shared" si="1"/>
        <v>18000</v>
      </c>
      <c r="D7" s="14"/>
      <c r="E7" s="14"/>
      <c r="F7" s="15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ht="15.75" customHeight="1">
      <c r="A8" s="9" t="s">
        <v>20</v>
      </c>
      <c r="B8" s="16">
        <v>4200.0</v>
      </c>
      <c r="C8" s="13">
        <f t="shared" si="1"/>
        <v>50400</v>
      </c>
      <c r="D8" s="14"/>
      <c r="E8" s="14"/>
      <c r="F8" s="1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ht="15.75" customHeight="1">
      <c r="A9" s="9" t="s">
        <v>22</v>
      </c>
      <c r="B9" s="11">
        <v>500.0</v>
      </c>
      <c r="C9" s="13">
        <f t="shared" si="1"/>
        <v>6000</v>
      </c>
      <c r="D9" s="14"/>
      <c r="E9" s="14"/>
      <c r="F9" s="15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ht="15.75" customHeight="1">
      <c r="A10" s="9" t="s">
        <v>24</v>
      </c>
      <c r="B10" s="16">
        <v>500.0</v>
      </c>
      <c r="C10" s="13">
        <f t="shared" si="1"/>
        <v>6000</v>
      </c>
      <c r="D10" s="14"/>
      <c r="E10" s="14"/>
      <c r="F10" s="1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ht="15.75" customHeight="1">
      <c r="A11" s="9" t="s">
        <v>25</v>
      </c>
      <c r="B11" s="16">
        <v>500.0</v>
      </c>
      <c r="C11" s="13">
        <f t="shared" si="1"/>
        <v>6000</v>
      </c>
      <c r="D11" s="14"/>
      <c r="E11" s="14"/>
      <c r="F11" s="1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ht="15.75" customHeight="1">
      <c r="A12" s="9" t="s">
        <v>26</v>
      </c>
      <c r="B12" s="16">
        <v>0.0</v>
      </c>
      <c r="C12" s="13">
        <f t="shared" si="1"/>
        <v>0</v>
      </c>
      <c r="D12" s="14"/>
      <c r="E12" s="14"/>
      <c r="F12" s="1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ht="30.0" customHeight="1">
      <c r="A13" s="23" t="s">
        <v>27</v>
      </c>
      <c r="B13" s="25">
        <f>SUM(B2:B12)</f>
        <v>48700</v>
      </c>
      <c r="C13" s="25">
        <f t="shared" si="1"/>
        <v>584400</v>
      </c>
      <c r="D13" s="14"/>
      <c r="E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ht="15.75" customHeight="1">
      <c r="A14" s="24"/>
      <c r="B14" s="24"/>
      <c r="C14" s="2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ht="15.75" customHeight="1">
      <c r="A15" s="24"/>
      <c r="B15" s="24"/>
      <c r="C15" s="2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ht="15.75" customHeight="1">
      <c r="A16" s="24"/>
      <c r="B16" s="24"/>
      <c r="C16" s="2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ht="15.75" customHeight="1">
      <c r="A17" s="24"/>
      <c r="B17" s="24"/>
      <c r="C17" s="2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ht="15.75" customHeight="1">
      <c r="A18" s="24"/>
      <c r="B18" s="24"/>
      <c r="C18" s="2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ht="15.75" customHeight="1">
      <c r="A19" s="24"/>
      <c r="B19" s="24"/>
      <c r="C19" s="2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ht="15.75" customHeight="1">
      <c r="A20" s="24"/>
      <c r="B20" s="24"/>
      <c r="C20" s="2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ht="15.75" customHeight="1">
      <c r="A21" s="24"/>
      <c r="B21" s="24"/>
      <c r="C21" s="2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ht="15.75" customHeight="1">
      <c r="A22" s="24"/>
      <c r="B22" s="24"/>
      <c r="C22" s="2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ht="15.75" customHeight="1">
      <c r="A23" s="24"/>
      <c r="B23" s="24"/>
      <c r="C23" s="2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ht="15.75" customHeight="1">
      <c r="A24" s="24"/>
      <c r="B24" s="24"/>
      <c r="C24" s="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ht="15.75" customHeight="1">
      <c r="A25" s="24"/>
      <c r="B25" s="24"/>
      <c r="C25" s="2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ht="15.75" customHeight="1">
      <c r="A26" s="24"/>
      <c r="B26" s="24"/>
      <c r="C26" s="2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ht="15.75" customHeight="1">
      <c r="A27" s="24"/>
      <c r="B27" s="24"/>
      <c r="C27" s="2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ht="15.75" customHeight="1">
      <c r="A28" s="24"/>
      <c r="B28" s="24"/>
      <c r="C28" s="2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ht="15.75" customHeight="1">
      <c r="A29" s="24"/>
      <c r="B29" s="24"/>
      <c r="C29" s="2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ht="15.75" customHeight="1">
      <c r="A30" s="24"/>
      <c r="B30" s="24"/>
      <c r="C30" s="2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ht="15.75" customHeight="1">
      <c r="A31" s="24"/>
      <c r="B31" s="24"/>
      <c r="C31" s="2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ht="15.75" customHeight="1">
      <c r="A32" s="24"/>
      <c r="B32" s="24"/>
      <c r="C32" s="2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ht="15.75" customHeight="1">
      <c r="A33" s="24"/>
      <c r="B33" s="24"/>
      <c r="C33" s="2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ht="15.75" customHeight="1">
      <c r="A34" s="24"/>
      <c r="B34" s="24"/>
      <c r="C34" s="2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ht="15.75" customHeight="1">
      <c r="A35" s="24"/>
      <c r="B35" s="24"/>
      <c r="C35" s="2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ht="15.75" customHeight="1">
      <c r="A36" s="24"/>
      <c r="B36" s="24"/>
      <c r="C36" s="2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ht="15.75" customHeight="1">
      <c r="A37" s="24"/>
      <c r="B37" s="24"/>
      <c r="C37" s="2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ht="15.75" customHeight="1">
      <c r="A38" s="24"/>
      <c r="B38" s="24"/>
      <c r="C38" s="2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ht="15.75" customHeight="1">
      <c r="A39" s="24"/>
      <c r="B39" s="24"/>
      <c r="C39" s="2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ht="15.75" customHeight="1">
      <c r="A40" s="24"/>
      <c r="B40" s="24"/>
      <c r="C40" s="2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ht="15.75" customHeight="1">
      <c r="A41" s="24"/>
      <c r="B41" s="24"/>
      <c r="C41" s="2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ht="15.75" customHeight="1">
      <c r="A42" s="24"/>
      <c r="B42" s="24"/>
      <c r="C42" s="2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ht="15.75" customHeight="1">
      <c r="A43" s="24"/>
      <c r="B43" s="24"/>
      <c r="C43" s="2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ht="15.75" customHeight="1">
      <c r="A44" s="24"/>
      <c r="B44" s="24"/>
      <c r="C44" s="2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ht="15.75" customHeight="1">
      <c r="A45" s="24"/>
      <c r="B45" s="24"/>
      <c r="C45" s="2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ht="15.75" customHeight="1">
      <c r="A46" s="24"/>
      <c r="B46" s="24"/>
      <c r="C46" s="2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ht="15.75" customHeight="1">
      <c r="A47" s="24"/>
      <c r="B47" s="24"/>
      <c r="C47" s="2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ht="15.75" customHeight="1">
      <c r="A48" s="24"/>
      <c r="B48" s="24"/>
      <c r="C48" s="2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ht="15.75" customHeight="1">
      <c r="A49" s="24"/>
      <c r="B49" s="24"/>
      <c r="C49" s="2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ht="15.75" customHeight="1">
      <c r="A50" s="24"/>
      <c r="B50" s="24"/>
      <c r="C50" s="2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ht="15.75" customHeight="1">
      <c r="A51" s="24"/>
      <c r="B51" s="24"/>
      <c r="C51" s="2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ht="15.75" customHeight="1">
      <c r="A52" s="24"/>
      <c r="B52" s="24"/>
      <c r="C52" s="2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ht="15.75" customHeight="1">
      <c r="A53" s="24"/>
      <c r="B53" s="24"/>
      <c r="C53" s="2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ht="15.75" customHeight="1">
      <c r="A54" s="24"/>
      <c r="B54" s="24"/>
      <c r="C54" s="2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ht="15.75" customHeight="1">
      <c r="A55" s="24"/>
      <c r="B55" s="24"/>
      <c r="C55" s="2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ht="15.75" customHeight="1">
      <c r="A56" s="24"/>
      <c r="B56" s="24"/>
      <c r="C56" s="2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ht="15.75" customHeight="1">
      <c r="A57" s="24"/>
      <c r="B57" s="24"/>
      <c r="C57" s="2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ht="15.75" customHeight="1">
      <c r="A58" s="24"/>
      <c r="B58" s="24"/>
      <c r="C58" s="2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ht="15.75" customHeight="1">
      <c r="A59" s="24"/>
      <c r="B59" s="24"/>
      <c r="C59" s="2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ht="15.75" customHeight="1">
      <c r="A60" s="24"/>
      <c r="B60" s="24"/>
      <c r="C60" s="2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ht="15.75" customHeight="1">
      <c r="A61" s="24"/>
      <c r="B61" s="24"/>
      <c r="C61" s="2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ht="15.75" customHeight="1">
      <c r="A62" s="24"/>
      <c r="B62" s="24"/>
      <c r="C62" s="2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ht="15.75" customHeight="1">
      <c r="A63" s="24"/>
      <c r="B63" s="24"/>
      <c r="C63" s="2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ht="15.75" customHeight="1">
      <c r="A64" s="24"/>
      <c r="B64" s="24"/>
      <c r="C64" s="2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ht="15.75" customHeight="1">
      <c r="A65" s="24"/>
      <c r="B65" s="24"/>
      <c r="C65" s="2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ht="15.75" customHeight="1">
      <c r="A66" s="24"/>
      <c r="B66" s="24"/>
      <c r="C66" s="2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ht="15.75" customHeight="1">
      <c r="A67" s="24"/>
      <c r="B67" s="24"/>
      <c r="C67" s="2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ht="15.75" customHeight="1">
      <c r="A68" s="24"/>
      <c r="B68" s="24"/>
      <c r="C68" s="2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ht="15.75" customHeight="1">
      <c r="A69" s="24"/>
      <c r="B69" s="24"/>
      <c r="C69" s="2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ht="15.75" customHeight="1">
      <c r="A70" s="24"/>
      <c r="B70" s="24"/>
      <c r="C70" s="2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ht="15.75" customHeight="1">
      <c r="A71" s="24"/>
      <c r="B71" s="24"/>
      <c r="C71" s="2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ht="15.75" customHeight="1">
      <c r="A72" s="24"/>
      <c r="B72" s="24"/>
      <c r="C72" s="2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ht="15.75" customHeight="1">
      <c r="A73" s="24"/>
      <c r="B73" s="24"/>
      <c r="C73" s="2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ht="15.75" customHeight="1">
      <c r="A74" s="24"/>
      <c r="B74" s="24"/>
      <c r="C74" s="2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ht="15.75" customHeight="1">
      <c r="A75" s="24"/>
      <c r="B75" s="24"/>
      <c r="C75" s="2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ht="15.75" customHeight="1">
      <c r="A76" s="24"/>
      <c r="B76" s="24"/>
      <c r="C76" s="2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ht="15.75" customHeight="1">
      <c r="A77" s="24"/>
      <c r="B77" s="24"/>
      <c r="C77" s="2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ht="15.75" customHeight="1">
      <c r="A78" s="24"/>
      <c r="B78" s="24"/>
      <c r="C78" s="2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ht="15.75" customHeight="1">
      <c r="A79" s="24"/>
      <c r="B79" s="24"/>
      <c r="C79" s="2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ht="15.75" customHeight="1">
      <c r="A80" s="24"/>
      <c r="B80" s="24"/>
      <c r="C80" s="2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ht="15.75" customHeight="1">
      <c r="A81" s="24"/>
      <c r="B81" s="24"/>
      <c r="C81" s="2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ht="15.75" customHeight="1">
      <c r="A82" s="24"/>
      <c r="B82" s="24"/>
      <c r="C82" s="2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ht="15.75" customHeight="1">
      <c r="A83" s="24"/>
      <c r="B83" s="24"/>
      <c r="C83" s="2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ht="15.75" customHeight="1">
      <c r="A84" s="24"/>
      <c r="B84" s="24"/>
      <c r="C84" s="2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ht="15.75" customHeight="1">
      <c r="A85" s="24"/>
      <c r="B85" s="24"/>
      <c r="C85" s="2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ht="15.75" customHeight="1">
      <c r="A86" s="24"/>
      <c r="B86" s="24"/>
      <c r="C86" s="2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ht="15.75" customHeight="1">
      <c r="A87" s="24"/>
      <c r="B87" s="24"/>
      <c r="C87" s="2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ht="15.75" customHeight="1">
      <c r="A88" s="24"/>
      <c r="B88" s="24"/>
      <c r="C88" s="2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ht="15.75" customHeight="1">
      <c r="A89" s="24"/>
      <c r="B89" s="24"/>
      <c r="C89" s="2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ht="15.75" customHeight="1">
      <c r="A90" s="24"/>
      <c r="B90" s="24"/>
      <c r="C90" s="2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ht="15.75" customHeight="1">
      <c r="A91" s="24"/>
      <c r="B91" s="24"/>
      <c r="C91" s="2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ht="15.75" customHeight="1">
      <c r="A92" s="24"/>
      <c r="B92" s="24"/>
      <c r="C92" s="2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ht="15.75" customHeight="1">
      <c r="A93" s="24"/>
      <c r="B93" s="24"/>
      <c r="C93" s="2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ht="15.75" customHeight="1">
      <c r="A94" s="24"/>
      <c r="B94" s="24"/>
      <c r="C94" s="2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ht="15.75" customHeight="1">
      <c r="A95" s="24"/>
      <c r="B95" s="24"/>
      <c r="C95" s="2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ht="15.75" customHeight="1">
      <c r="A96" s="24"/>
      <c r="B96" s="24"/>
      <c r="C96" s="2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ht="15.75" customHeight="1">
      <c r="A97" s="24"/>
      <c r="B97" s="24"/>
      <c r="C97" s="2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ht="15.75" customHeight="1">
      <c r="A98" s="24"/>
      <c r="B98" s="24"/>
      <c r="C98" s="2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ht="15.75" customHeight="1">
      <c r="A99" s="24"/>
      <c r="B99" s="24"/>
      <c r="C99" s="2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ht="15.75" customHeight="1">
      <c r="A100" s="24"/>
      <c r="B100" s="24"/>
      <c r="C100" s="2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ht="15.75" customHeight="1">
      <c r="A101" s="24"/>
      <c r="B101" s="24"/>
      <c r="C101" s="2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ht="15.75" customHeight="1">
      <c r="A102" s="24"/>
      <c r="B102" s="24"/>
      <c r="C102" s="2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ht="15.75" customHeight="1">
      <c r="A103" s="24"/>
      <c r="B103" s="24"/>
      <c r="C103" s="2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ht="15.75" customHeight="1">
      <c r="A104" s="24"/>
      <c r="B104" s="24"/>
      <c r="C104" s="2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ht="15.75" customHeight="1">
      <c r="A105" s="24"/>
      <c r="B105" s="24"/>
      <c r="C105" s="2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ht="15.75" customHeight="1">
      <c r="A106" s="24"/>
      <c r="B106" s="24"/>
      <c r="C106" s="2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ht="15.75" customHeight="1">
      <c r="A107" s="24"/>
      <c r="B107" s="24"/>
      <c r="C107" s="2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ht="15.75" customHeight="1">
      <c r="A108" s="24"/>
      <c r="B108" s="24"/>
      <c r="C108" s="2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ht="15.75" customHeight="1">
      <c r="A109" s="24"/>
      <c r="B109" s="24"/>
      <c r="C109" s="2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ht="15.75" customHeight="1">
      <c r="A110" s="24"/>
      <c r="B110" s="24"/>
      <c r="C110" s="2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ht="15.75" customHeight="1">
      <c r="A111" s="24"/>
      <c r="B111" s="24"/>
      <c r="C111" s="2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ht="15.75" customHeight="1">
      <c r="A112" s="24"/>
      <c r="B112" s="24"/>
      <c r="C112" s="2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ht="15.75" customHeight="1">
      <c r="A113" s="24"/>
      <c r="B113" s="24"/>
      <c r="C113" s="2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ht="15.75" customHeight="1">
      <c r="A114" s="24"/>
      <c r="B114" s="24"/>
      <c r="C114" s="2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ht="15.75" customHeight="1">
      <c r="A115" s="24"/>
      <c r="B115" s="24"/>
      <c r="C115" s="2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ht="15.75" customHeight="1">
      <c r="A116" s="24"/>
      <c r="B116" s="24"/>
      <c r="C116" s="2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ht="15.75" customHeight="1">
      <c r="A117" s="24"/>
      <c r="B117" s="24"/>
      <c r="C117" s="2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ht="15.75" customHeight="1">
      <c r="A118" s="24"/>
      <c r="B118" s="24"/>
      <c r="C118" s="2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ht="15.75" customHeight="1">
      <c r="A119" s="24"/>
      <c r="B119" s="24"/>
      <c r="C119" s="2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ht="15.75" customHeight="1">
      <c r="A120" s="24"/>
      <c r="B120" s="24"/>
      <c r="C120" s="2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ht="15.75" customHeight="1">
      <c r="A121" s="24"/>
      <c r="B121" s="24"/>
      <c r="C121" s="2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ht="15.75" customHeight="1">
      <c r="A122" s="24"/>
      <c r="B122" s="24"/>
      <c r="C122" s="2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ht="15.75" customHeight="1">
      <c r="A123" s="24"/>
      <c r="B123" s="24"/>
      <c r="C123" s="2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ht="15.75" customHeight="1">
      <c r="A124" s="24"/>
      <c r="B124" s="24"/>
      <c r="C124" s="2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ht="15.75" customHeight="1">
      <c r="A125" s="24"/>
      <c r="B125" s="24"/>
      <c r="C125" s="2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ht="15.75" customHeight="1">
      <c r="A126" s="24"/>
      <c r="B126" s="24"/>
      <c r="C126" s="2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ht="15.75" customHeight="1">
      <c r="A127" s="24"/>
      <c r="B127" s="24"/>
      <c r="C127" s="2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ht="15.75" customHeight="1">
      <c r="A128" s="24"/>
      <c r="B128" s="24"/>
      <c r="C128" s="2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ht="15.75" customHeight="1">
      <c r="A129" s="24"/>
      <c r="B129" s="24"/>
      <c r="C129" s="2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ht="15.75" customHeight="1">
      <c r="A130" s="24"/>
      <c r="B130" s="24"/>
      <c r="C130" s="2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ht="15.75" customHeight="1">
      <c r="A131" s="24"/>
      <c r="B131" s="24"/>
      <c r="C131" s="2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ht="15.75" customHeight="1">
      <c r="A132" s="24"/>
      <c r="B132" s="24"/>
      <c r="C132" s="2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ht="15.75" customHeight="1">
      <c r="A133" s="24"/>
      <c r="B133" s="24"/>
      <c r="C133" s="2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ht="15.75" customHeight="1">
      <c r="A134" s="24"/>
      <c r="B134" s="24"/>
      <c r="C134" s="2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ht="15.75" customHeight="1">
      <c r="A135" s="24"/>
      <c r="B135" s="24"/>
      <c r="C135" s="2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ht="15.75" customHeight="1">
      <c r="A136" s="24"/>
      <c r="B136" s="24"/>
      <c r="C136" s="2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ht="15.75" customHeight="1">
      <c r="A137" s="24"/>
      <c r="B137" s="24"/>
      <c r="C137" s="2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ht="15.75" customHeight="1">
      <c r="A138" s="24"/>
      <c r="B138" s="24"/>
      <c r="C138" s="2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ht="15.75" customHeight="1">
      <c r="A139" s="24"/>
      <c r="B139" s="24"/>
      <c r="C139" s="2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ht="15.75" customHeight="1">
      <c r="A140" s="24"/>
      <c r="B140" s="24"/>
      <c r="C140" s="2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ht="15.75" customHeight="1">
      <c r="A141" s="24"/>
      <c r="B141" s="24"/>
      <c r="C141" s="2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ht="15.75" customHeight="1">
      <c r="A142" s="24"/>
      <c r="B142" s="24"/>
      <c r="C142" s="2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ht="15.75" customHeight="1">
      <c r="A143" s="24"/>
      <c r="B143" s="24"/>
      <c r="C143" s="2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ht="15.75" customHeight="1">
      <c r="A144" s="24"/>
      <c r="B144" s="24"/>
      <c r="C144" s="2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ht="15.75" customHeight="1">
      <c r="A145" s="24"/>
      <c r="B145" s="24"/>
      <c r="C145" s="2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ht="15.75" customHeight="1">
      <c r="A146" s="24"/>
      <c r="B146" s="24"/>
      <c r="C146" s="2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ht="15.75" customHeight="1">
      <c r="A147" s="24"/>
      <c r="B147" s="24"/>
      <c r="C147" s="2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ht="15.75" customHeight="1">
      <c r="A148" s="24"/>
      <c r="B148" s="24"/>
      <c r="C148" s="2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ht="15.75" customHeight="1">
      <c r="A149" s="24"/>
      <c r="B149" s="24"/>
      <c r="C149" s="2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ht="15.75" customHeight="1">
      <c r="A150" s="24"/>
      <c r="B150" s="24"/>
      <c r="C150" s="2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ht="15.75" customHeight="1">
      <c r="A151" s="24"/>
      <c r="B151" s="24"/>
      <c r="C151" s="2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ht="15.75" customHeight="1">
      <c r="A152" s="24"/>
      <c r="B152" s="24"/>
      <c r="C152" s="2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ht="15.75" customHeight="1">
      <c r="A153" s="24"/>
      <c r="B153" s="24"/>
      <c r="C153" s="2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ht="15.75" customHeight="1">
      <c r="A154" s="24"/>
      <c r="B154" s="24"/>
      <c r="C154" s="2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ht="15.75" customHeight="1">
      <c r="A155" s="24"/>
      <c r="B155" s="24"/>
      <c r="C155" s="2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ht="15.75" customHeight="1">
      <c r="A156" s="24"/>
      <c r="B156" s="24"/>
      <c r="C156" s="2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ht="15.75" customHeight="1">
      <c r="A157" s="24"/>
      <c r="B157" s="24"/>
      <c r="C157" s="2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ht="15.75" customHeight="1">
      <c r="A158" s="24"/>
      <c r="B158" s="24"/>
      <c r="C158" s="2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ht="15.75" customHeight="1">
      <c r="A159" s="24"/>
      <c r="B159" s="24"/>
      <c r="C159" s="2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ht="15.75" customHeight="1">
      <c r="A160" s="24"/>
      <c r="B160" s="24"/>
      <c r="C160" s="2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ht="15.75" customHeight="1">
      <c r="A161" s="24"/>
      <c r="B161" s="24"/>
      <c r="C161" s="2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ht="15.75" customHeight="1">
      <c r="A162" s="24"/>
      <c r="B162" s="24"/>
      <c r="C162" s="2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ht="15.75" customHeight="1">
      <c r="A163" s="24"/>
      <c r="B163" s="24"/>
      <c r="C163" s="2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ht="15.75" customHeight="1">
      <c r="A164" s="24"/>
      <c r="B164" s="24"/>
      <c r="C164" s="2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ht="15.75" customHeight="1">
      <c r="A165" s="24"/>
      <c r="B165" s="24"/>
      <c r="C165" s="2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ht="15.75" customHeight="1">
      <c r="A166" s="24"/>
      <c r="B166" s="24"/>
      <c r="C166" s="2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ht="15.75" customHeight="1">
      <c r="A167" s="24"/>
      <c r="B167" s="24"/>
      <c r="C167" s="2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ht="15.75" customHeight="1">
      <c r="A168" s="24"/>
      <c r="B168" s="24"/>
      <c r="C168" s="2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ht="15.75" customHeight="1">
      <c r="A169" s="24"/>
      <c r="B169" s="24"/>
      <c r="C169" s="2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ht="15.75" customHeight="1">
      <c r="A170" s="24"/>
      <c r="B170" s="24"/>
      <c r="C170" s="2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ht="15.75" customHeight="1">
      <c r="A171" s="24"/>
      <c r="B171" s="24"/>
      <c r="C171" s="2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ht="15.75" customHeight="1">
      <c r="A172" s="24"/>
      <c r="B172" s="24"/>
      <c r="C172" s="2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ht="15.75" customHeight="1">
      <c r="A173" s="24"/>
      <c r="B173" s="24"/>
      <c r="C173" s="2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ht="15.75" customHeight="1">
      <c r="A174" s="24"/>
      <c r="B174" s="24"/>
      <c r="C174" s="2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ht="15.75" customHeight="1">
      <c r="A175" s="24"/>
      <c r="B175" s="24"/>
      <c r="C175" s="2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ht="15.75" customHeight="1">
      <c r="A176" s="24"/>
      <c r="B176" s="24"/>
      <c r="C176" s="2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ht="15.75" customHeight="1">
      <c r="A177" s="24"/>
      <c r="B177" s="24"/>
      <c r="C177" s="2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ht="15.75" customHeight="1">
      <c r="A178" s="24"/>
      <c r="B178" s="24"/>
      <c r="C178" s="2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ht="15.75" customHeight="1">
      <c r="A179" s="24"/>
      <c r="B179" s="24"/>
      <c r="C179" s="2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ht="15.75" customHeight="1">
      <c r="A180" s="24"/>
      <c r="B180" s="24"/>
      <c r="C180" s="2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ht="15.75" customHeight="1">
      <c r="A181" s="24"/>
      <c r="B181" s="24"/>
      <c r="C181" s="2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ht="15.75" customHeight="1">
      <c r="A182" s="24"/>
      <c r="B182" s="24"/>
      <c r="C182" s="2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ht="15.75" customHeight="1">
      <c r="A183" s="24"/>
      <c r="B183" s="24"/>
      <c r="C183" s="2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ht="15.75" customHeight="1">
      <c r="A184" s="24"/>
      <c r="B184" s="24"/>
      <c r="C184" s="2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ht="15.75" customHeight="1">
      <c r="A185" s="24"/>
      <c r="B185" s="24"/>
      <c r="C185" s="2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ht="15.75" customHeight="1">
      <c r="A186" s="24"/>
      <c r="B186" s="24"/>
      <c r="C186" s="2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ht="15.75" customHeight="1">
      <c r="A187" s="24"/>
      <c r="B187" s="24"/>
      <c r="C187" s="2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ht="15.75" customHeight="1">
      <c r="A188" s="24"/>
      <c r="B188" s="24"/>
      <c r="C188" s="2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ht="15.75" customHeight="1">
      <c r="A189" s="24"/>
      <c r="B189" s="24"/>
      <c r="C189" s="2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ht="15.75" customHeight="1">
      <c r="A190" s="24"/>
      <c r="B190" s="24"/>
      <c r="C190" s="2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ht="15.75" customHeight="1">
      <c r="A191" s="24"/>
      <c r="B191" s="24"/>
      <c r="C191" s="2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ht="15.75" customHeight="1">
      <c r="A192" s="24"/>
      <c r="B192" s="24"/>
      <c r="C192" s="2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ht="15.75" customHeight="1">
      <c r="A193" s="24"/>
      <c r="B193" s="24"/>
      <c r="C193" s="2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ht="15.75" customHeight="1">
      <c r="A194" s="24"/>
      <c r="B194" s="24"/>
      <c r="C194" s="2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ht="15.75" customHeight="1">
      <c r="A195" s="24"/>
      <c r="B195" s="24"/>
      <c r="C195" s="2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ht="15.75" customHeight="1">
      <c r="A196" s="24"/>
      <c r="B196" s="24"/>
      <c r="C196" s="2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ht="15.75" customHeight="1">
      <c r="A197" s="24"/>
      <c r="B197" s="24"/>
      <c r="C197" s="2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ht="15.75" customHeight="1">
      <c r="A198" s="24"/>
      <c r="B198" s="24"/>
      <c r="C198" s="2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ht="15.75" customHeight="1">
      <c r="A199" s="24"/>
      <c r="B199" s="24"/>
      <c r="C199" s="2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ht="15.75" customHeight="1">
      <c r="A200" s="24"/>
      <c r="B200" s="24"/>
      <c r="C200" s="2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30.14"/>
    <col customWidth="1" min="3" max="3" width="25.14"/>
    <col customWidth="1" min="4" max="6" width="14.43"/>
  </cols>
  <sheetData>
    <row r="1" ht="58.5" customHeight="1">
      <c r="A1" s="5" t="s">
        <v>4</v>
      </c>
      <c r="B1" s="7" t="s">
        <v>5</v>
      </c>
      <c r="C1" s="7" t="s">
        <v>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8" t="s">
        <v>9</v>
      </c>
      <c r="B2" s="10">
        <v>0.4</v>
      </c>
      <c r="C2" s="12">
        <f t="shared" ref="C2:C16" si="1">SUM(2080*B2)</f>
        <v>832</v>
      </c>
      <c r="D2" s="14"/>
      <c r="E2" s="14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ht="15.75" customHeight="1">
      <c r="A3" s="8" t="s">
        <v>12</v>
      </c>
      <c r="B3" s="10">
        <v>0.6</v>
      </c>
      <c r="C3" s="12">
        <f t="shared" si="1"/>
        <v>1248</v>
      </c>
      <c r="D3" s="14"/>
      <c r="E3" s="14"/>
      <c r="F3" s="1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ht="15.75" customHeight="1">
      <c r="A4" s="8" t="s">
        <v>14</v>
      </c>
      <c r="B4" s="19">
        <v>0.8</v>
      </c>
      <c r="C4" s="12">
        <f t="shared" si="1"/>
        <v>1664</v>
      </c>
      <c r="D4" s="14"/>
      <c r="E4" s="14"/>
      <c r="F4" s="15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ht="15.75" customHeight="1">
      <c r="A5" s="8" t="s">
        <v>17</v>
      </c>
      <c r="B5" s="19">
        <v>0.8</v>
      </c>
      <c r="C5" s="12">
        <f t="shared" si="1"/>
        <v>1664</v>
      </c>
      <c r="D5" s="14"/>
      <c r="E5" s="14"/>
      <c r="F5" s="15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ht="15.75" customHeight="1">
      <c r="A6" s="8" t="s">
        <v>19</v>
      </c>
      <c r="B6" s="19">
        <v>0.8</v>
      </c>
      <c r="C6" s="12">
        <f t="shared" si="1"/>
        <v>1664</v>
      </c>
      <c r="D6" s="14"/>
      <c r="E6" s="14"/>
      <c r="F6" s="15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ht="15.75" customHeight="1">
      <c r="A7" s="8" t="s">
        <v>21</v>
      </c>
      <c r="B7" s="19">
        <v>0.15</v>
      </c>
      <c r="C7" s="12">
        <f t="shared" si="1"/>
        <v>312</v>
      </c>
      <c r="D7" s="14"/>
      <c r="E7" s="14"/>
      <c r="F7" s="15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ht="15.75" customHeight="1">
      <c r="A8" s="8" t="s">
        <v>23</v>
      </c>
      <c r="B8" s="19">
        <v>0.0</v>
      </c>
      <c r="C8" s="12">
        <f t="shared" si="1"/>
        <v>0</v>
      </c>
      <c r="D8" s="14"/>
      <c r="E8" s="14"/>
      <c r="F8" s="1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ht="15.75" customHeight="1">
      <c r="A9" s="8"/>
      <c r="B9" s="19"/>
      <c r="C9" s="12">
        <f t="shared" si="1"/>
        <v>0</v>
      </c>
      <c r="D9" s="14"/>
      <c r="E9" s="14"/>
      <c r="F9" s="15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ht="15.75" customHeight="1">
      <c r="A10" s="8"/>
      <c r="B10" s="19"/>
      <c r="C10" s="12">
        <f t="shared" si="1"/>
        <v>0</v>
      </c>
      <c r="D10" s="14"/>
      <c r="E10" s="14"/>
      <c r="F10" s="1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ht="15.75" customHeight="1">
      <c r="A11" s="8"/>
      <c r="B11" s="19"/>
      <c r="C11" s="12">
        <f t="shared" si="1"/>
        <v>0</v>
      </c>
      <c r="D11" s="14"/>
      <c r="E11" s="14"/>
      <c r="F11" s="1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ht="15.75" customHeight="1">
      <c r="A12" s="8"/>
      <c r="B12" s="19"/>
      <c r="C12" s="12">
        <f t="shared" si="1"/>
        <v>0</v>
      </c>
      <c r="D12" s="14"/>
      <c r="E12" s="14"/>
      <c r="F12" s="1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ht="15.75" customHeight="1">
      <c r="A13" s="8"/>
      <c r="B13" s="19"/>
      <c r="C13" s="12">
        <f t="shared" si="1"/>
        <v>0</v>
      </c>
      <c r="D13" s="14"/>
      <c r="E13" s="14"/>
      <c r="F13" s="1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ht="15.75" customHeight="1">
      <c r="A14" s="8"/>
      <c r="B14" s="19"/>
      <c r="C14" s="12">
        <f t="shared" si="1"/>
        <v>0</v>
      </c>
      <c r="D14" s="14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ht="15.75" customHeight="1">
      <c r="A15" s="8"/>
      <c r="B15" s="19"/>
      <c r="C15" s="12">
        <f t="shared" si="1"/>
        <v>0</v>
      </c>
      <c r="D15" s="14"/>
      <c r="E15" s="14"/>
      <c r="F15" s="15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ht="15.75" customHeight="1">
      <c r="A16" s="8"/>
      <c r="B16" s="19"/>
      <c r="C16" s="12">
        <f t="shared" si="1"/>
        <v>0</v>
      </c>
      <c r="D16" s="14"/>
      <c r="E16" s="14"/>
      <c r="F16" s="15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ht="30.0" customHeight="1">
      <c r="A17" s="23" t="s">
        <v>28</v>
      </c>
      <c r="C17" s="26">
        <f>SUM(C2:C16)</f>
        <v>7384</v>
      </c>
      <c r="D17" s="14"/>
      <c r="E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ht="15.75" customHeight="1">
      <c r="A18" s="24"/>
      <c r="B18" s="24"/>
      <c r="C18" s="2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ht="15.75" customHeight="1">
      <c r="A19" s="24"/>
      <c r="B19" s="24"/>
      <c r="C19" s="2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ht="15.75" customHeight="1">
      <c r="A20" s="24"/>
      <c r="B20" s="24"/>
      <c r="C20" s="2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ht="15.75" customHeight="1">
      <c r="A21" s="24"/>
      <c r="B21" s="24"/>
      <c r="C21" s="2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ht="15.75" customHeight="1">
      <c r="A22" s="24"/>
      <c r="B22" s="24"/>
      <c r="C22" s="2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ht="15.75" customHeight="1">
      <c r="A23" s="24"/>
      <c r="B23" s="24"/>
      <c r="C23" s="2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ht="15.75" customHeight="1">
      <c r="A24" s="24"/>
      <c r="B24" s="24"/>
      <c r="C24" s="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ht="15.75" customHeight="1">
      <c r="A25" s="24"/>
      <c r="B25" s="24"/>
      <c r="C25" s="2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ht="15.75" customHeight="1">
      <c r="A26" s="24"/>
      <c r="B26" s="24"/>
      <c r="C26" s="2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ht="15.75" customHeight="1">
      <c r="A27" s="24"/>
      <c r="B27" s="24"/>
      <c r="C27" s="2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ht="15.75" customHeight="1">
      <c r="A28" s="24"/>
      <c r="B28" s="24"/>
      <c r="C28" s="2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ht="15.75" customHeight="1">
      <c r="A29" s="24"/>
      <c r="B29" s="24"/>
      <c r="C29" s="2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ht="15.75" customHeight="1">
      <c r="A30" s="24"/>
      <c r="B30" s="24"/>
      <c r="C30" s="2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ht="15.75" customHeight="1">
      <c r="A31" s="24"/>
      <c r="B31" s="24"/>
      <c r="C31" s="2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ht="15.75" customHeight="1">
      <c r="A32" s="24"/>
      <c r="B32" s="24"/>
      <c r="C32" s="2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ht="15.75" customHeight="1">
      <c r="A33" s="24"/>
      <c r="B33" s="24"/>
      <c r="C33" s="2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ht="15.75" customHeight="1">
      <c r="A34" s="24"/>
      <c r="B34" s="24"/>
      <c r="C34" s="2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ht="15.75" customHeight="1">
      <c r="A35" s="24"/>
      <c r="B35" s="24"/>
      <c r="C35" s="2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ht="15.75" customHeight="1">
      <c r="A36" s="24"/>
      <c r="B36" s="24"/>
      <c r="C36" s="2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ht="15.75" customHeight="1">
      <c r="A37" s="24"/>
      <c r="B37" s="24"/>
      <c r="C37" s="2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ht="15.75" customHeight="1">
      <c r="A38" s="24"/>
      <c r="B38" s="24"/>
      <c r="C38" s="2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ht="15.75" customHeight="1">
      <c r="A39" s="24"/>
      <c r="B39" s="24"/>
      <c r="C39" s="2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ht="15.75" customHeight="1">
      <c r="A40" s="24"/>
      <c r="B40" s="24"/>
      <c r="C40" s="2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ht="15.75" customHeight="1">
      <c r="A41" s="24"/>
      <c r="B41" s="24"/>
      <c r="C41" s="2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ht="15.75" customHeight="1">
      <c r="A42" s="24"/>
      <c r="B42" s="24"/>
      <c r="C42" s="2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ht="15.75" customHeight="1">
      <c r="A43" s="24"/>
      <c r="B43" s="24"/>
      <c r="C43" s="2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ht="15.75" customHeight="1">
      <c r="A44" s="24"/>
      <c r="B44" s="24"/>
      <c r="C44" s="2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ht="15.75" customHeight="1">
      <c r="A45" s="24"/>
      <c r="B45" s="24"/>
      <c r="C45" s="2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ht="15.75" customHeight="1">
      <c r="A46" s="24"/>
      <c r="B46" s="24"/>
      <c r="C46" s="2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ht="15.75" customHeight="1">
      <c r="A47" s="24"/>
      <c r="B47" s="24"/>
      <c r="C47" s="2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ht="15.75" customHeight="1">
      <c r="A48" s="24"/>
      <c r="B48" s="24"/>
      <c r="C48" s="2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ht="15.75" customHeight="1">
      <c r="A49" s="24"/>
      <c r="B49" s="24"/>
      <c r="C49" s="2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ht="15.75" customHeight="1">
      <c r="A50" s="24"/>
      <c r="B50" s="24"/>
      <c r="C50" s="2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ht="15.75" customHeight="1">
      <c r="A51" s="24"/>
      <c r="B51" s="24"/>
      <c r="C51" s="2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ht="15.75" customHeight="1">
      <c r="A52" s="24"/>
      <c r="B52" s="24"/>
      <c r="C52" s="2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ht="15.75" customHeight="1">
      <c r="A53" s="24"/>
      <c r="B53" s="24"/>
      <c r="C53" s="2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ht="15.75" customHeight="1">
      <c r="A54" s="24"/>
      <c r="B54" s="24"/>
      <c r="C54" s="2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ht="15.75" customHeight="1">
      <c r="A55" s="24"/>
      <c r="B55" s="24"/>
      <c r="C55" s="2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ht="15.75" customHeight="1">
      <c r="A56" s="24"/>
      <c r="B56" s="24"/>
      <c r="C56" s="2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ht="15.75" customHeight="1">
      <c r="A57" s="24"/>
      <c r="B57" s="24"/>
      <c r="C57" s="2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ht="15.75" customHeight="1">
      <c r="A58" s="24"/>
      <c r="B58" s="24"/>
      <c r="C58" s="2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ht="15.75" customHeight="1">
      <c r="A59" s="24"/>
      <c r="B59" s="24"/>
      <c r="C59" s="2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ht="15.75" customHeight="1">
      <c r="A60" s="24"/>
      <c r="B60" s="24"/>
      <c r="C60" s="2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ht="15.75" customHeight="1">
      <c r="A61" s="24"/>
      <c r="B61" s="24"/>
      <c r="C61" s="2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ht="15.75" customHeight="1">
      <c r="A62" s="24"/>
      <c r="B62" s="24"/>
      <c r="C62" s="2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ht="15.75" customHeight="1">
      <c r="A63" s="24"/>
      <c r="B63" s="24"/>
      <c r="C63" s="2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ht="15.75" customHeight="1">
      <c r="A64" s="24"/>
      <c r="B64" s="24"/>
      <c r="C64" s="2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ht="15.75" customHeight="1">
      <c r="A65" s="24"/>
      <c r="B65" s="24"/>
      <c r="C65" s="2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ht="15.75" customHeight="1">
      <c r="A66" s="24"/>
      <c r="B66" s="24"/>
      <c r="C66" s="2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ht="15.75" customHeight="1">
      <c r="A67" s="24"/>
      <c r="B67" s="24"/>
      <c r="C67" s="2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ht="15.75" customHeight="1">
      <c r="A68" s="24"/>
      <c r="B68" s="24"/>
      <c r="C68" s="2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ht="15.75" customHeight="1">
      <c r="A69" s="24"/>
      <c r="B69" s="24"/>
      <c r="C69" s="2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ht="15.75" customHeight="1">
      <c r="A70" s="24"/>
      <c r="B70" s="24"/>
      <c r="C70" s="2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ht="15.75" customHeight="1">
      <c r="A71" s="24"/>
      <c r="B71" s="24"/>
      <c r="C71" s="2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ht="15.75" customHeight="1">
      <c r="A72" s="24"/>
      <c r="B72" s="24"/>
      <c r="C72" s="2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ht="15.75" customHeight="1">
      <c r="A73" s="24"/>
      <c r="B73" s="24"/>
      <c r="C73" s="2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ht="15.75" customHeight="1">
      <c r="A74" s="24"/>
      <c r="B74" s="24"/>
      <c r="C74" s="2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ht="15.75" customHeight="1">
      <c r="A75" s="24"/>
      <c r="B75" s="24"/>
      <c r="C75" s="2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ht="15.75" customHeight="1">
      <c r="A76" s="24"/>
      <c r="B76" s="24"/>
      <c r="C76" s="2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ht="15.75" customHeight="1">
      <c r="A77" s="24"/>
      <c r="B77" s="24"/>
      <c r="C77" s="2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ht="15.75" customHeight="1">
      <c r="A78" s="24"/>
      <c r="B78" s="24"/>
      <c r="C78" s="2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ht="15.75" customHeight="1">
      <c r="A79" s="24"/>
      <c r="B79" s="24"/>
      <c r="C79" s="2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ht="15.75" customHeight="1">
      <c r="A80" s="24"/>
      <c r="B80" s="24"/>
      <c r="C80" s="2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ht="15.75" customHeight="1">
      <c r="A81" s="24"/>
      <c r="B81" s="24"/>
      <c r="C81" s="2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ht="15.75" customHeight="1">
      <c r="A82" s="24"/>
      <c r="B82" s="24"/>
      <c r="C82" s="2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ht="15.75" customHeight="1">
      <c r="A83" s="24"/>
      <c r="B83" s="24"/>
      <c r="C83" s="2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ht="15.75" customHeight="1">
      <c r="A84" s="24"/>
      <c r="B84" s="24"/>
      <c r="C84" s="2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ht="15.75" customHeight="1">
      <c r="A85" s="24"/>
      <c r="B85" s="24"/>
      <c r="C85" s="2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ht="15.75" customHeight="1">
      <c r="A86" s="24"/>
      <c r="B86" s="24"/>
      <c r="C86" s="2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ht="15.75" customHeight="1">
      <c r="A87" s="24"/>
      <c r="B87" s="24"/>
      <c r="C87" s="2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ht="15.75" customHeight="1">
      <c r="A88" s="24"/>
      <c r="B88" s="24"/>
      <c r="C88" s="2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ht="15.75" customHeight="1">
      <c r="A89" s="24"/>
      <c r="B89" s="24"/>
      <c r="C89" s="2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ht="15.75" customHeight="1">
      <c r="A90" s="24"/>
      <c r="B90" s="24"/>
      <c r="C90" s="2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ht="15.75" customHeight="1">
      <c r="A91" s="24"/>
      <c r="B91" s="24"/>
      <c r="C91" s="2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ht="15.75" customHeight="1">
      <c r="A92" s="24"/>
      <c r="B92" s="24"/>
      <c r="C92" s="2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ht="15.75" customHeight="1">
      <c r="A93" s="24"/>
      <c r="B93" s="24"/>
      <c r="C93" s="2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ht="15.75" customHeight="1">
      <c r="A94" s="24"/>
      <c r="B94" s="24"/>
      <c r="C94" s="2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ht="15.75" customHeight="1">
      <c r="A95" s="24"/>
      <c r="B95" s="24"/>
      <c r="C95" s="2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ht="15.75" customHeight="1">
      <c r="A96" s="24"/>
      <c r="B96" s="24"/>
      <c r="C96" s="2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ht="15.75" customHeight="1">
      <c r="A97" s="24"/>
      <c r="B97" s="24"/>
      <c r="C97" s="2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ht="15.75" customHeight="1">
      <c r="A98" s="24"/>
      <c r="B98" s="24"/>
      <c r="C98" s="2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ht="15.75" customHeight="1">
      <c r="A99" s="24"/>
      <c r="B99" s="24"/>
      <c r="C99" s="2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ht="15.75" customHeight="1">
      <c r="A100" s="24"/>
      <c r="B100" s="24"/>
      <c r="C100" s="2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ht="15.75" customHeight="1">
      <c r="A101" s="24"/>
      <c r="B101" s="24"/>
      <c r="C101" s="2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ht="15.75" customHeight="1">
      <c r="A102" s="24"/>
      <c r="B102" s="24"/>
      <c r="C102" s="2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ht="15.75" customHeight="1">
      <c r="A103" s="24"/>
      <c r="B103" s="24"/>
      <c r="C103" s="2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ht="15.75" customHeight="1">
      <c r="A104" s="24"/>
      <c r="B104" s="24"/>
      <c r="C104" s="2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ht="15.75" customHeight="1">
      <c r="A105" s="24"/>
      <c r="B105" s="24"/>
      <c r="C105" s="2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ht="15.75" customHeight="1">
      <c r="A106" s="24"/>
      <c r="B106" s="24"/>
      <c r="C106" s="2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ht="15.75" customHeight="1">
      <c r="A107" s="24"/>
      <c r="B107" s="24"/>
      <c r="C107" s="2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ht="15.75" customHeight="1">
      <c r="A108" s="24"/>
      <c r="B108" s="24"/>
      <c r="C108" s="2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ht="15.75" customHeight="1">
      <c r="A109" s="24"/>
      <c r="B109" s="24"/>
      <c r="C109" s="2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ht="15.75" customHeight="1">
      <c r="A110" s="24"/>
      <c r="B110" s="24"/>
      <c r="C110" s="2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ht="15.75" customHeight="1">
      <c r="A111" s="24"/>
      <c r="B111" s="24"/>
      <c r="C111" s="2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ht="15.75" customHeight="1">
      <c r="A112" s="24"/>
      <c r="B112" s="24"/>
      <c r="C112" s="2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ht="15.75" customHeight="1">
      <c r="A113" s="24"/>
      <c r="B113" s="24"/>
      <c r="C113" s="2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ht="15.75" customHeight="1">
      <c r="A114" s="24"/>
      <c r="B114" s="24"/>
      <c r="C114" s="2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ht="15.75" customHeight="1">
      <c r="A115" s="24"/>
      <c r="B115" s="24"/>
      <c r="C115" s="2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ht="15.75" customHeight="1">
      <c r="A116" s="24"/>
      <c r="B116" s="24"/>
      <c r="C116" s="2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ht="15.75" customHeight="1">
      <c r="A117" s="24"/>
      <c r="B117" s="24"/>
      <c r="C117" s="2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ht="15.75" customHeight="1">
      <c r="A118" s="24"/>
      <c r="B118" s="24"/>
      <c r="C118" s="2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ht="15.75" customHeight="1">
      <c r="A119" s="24"/>
      <c r="B119" s="24"/>
      <c r="C119" s="2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ht="15.75" customHeight="1">
      <c r="A120" s="24"/>
      <c r="B120" s="24"/>
      <c r="C120" s="2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ht="15.75" customHeight="1">
      <c r="A121" s="24"/>
      <c r="B121" s="24"/>
      <c r="C121" s="2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ht="15.75" customHeight="1">
      <c r="A122" s="24"/>
      <c r="B122" s="24"/>
      <c r="C122" s="2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ht="15.75" customHeight="1">
      <c r="A123" s="24"/>
      <c r="B123" s="24"/>
      <c r="C123" s="2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ht="15.75" customHeight="1">
      <c r="A124" s="24"/>
      <c r="B124" s="24"/>
      <c r="C124" s="2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ht="15.75" customHeight="1">
      <c r="A125" s="24"/>
      <c r="B125" s="24"/>
      <c r="C125" s="2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ht="15.75" customHeight="1">
      <c r="A126" s="24"/>
      <c r="B126" s="24"/>
      <c r="C126" s="2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ht="15.75" customHeight="1">
      <c r="A127" s="24"/>
      <c r="B127" s="24"/>
      <c r="C127" s="2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ht="15.75" customHeight="1">
      <c r="A128" s="24"/>
      <c r="B128" s="24"/>
      <c r="C128" s="2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ht="15.75" customHeight="1">
      <c r="A129" s="24"/>
      <c r="B129" s="24"/>
      <c r="C129" s="2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ht="15.75" customHeight="1">
      <c r="A130" s="24"/>
      <c r="B130" s="24"/>
      <c r="C130" s="2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ht="15.75" customHeight="1">
      <c r="A131" s="24"/>
      <c r="B131" s="24"/>
      <c r="C131" s="2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ht="15.75" customHeight="1">
      <c r="A132" s="24"/>
      <c r="B132" s="24"/>
      <c r="C132" s="2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ht="15.75" customHeight="1">
      <c r="A133" s="24"/>
      <c r="B133" s="24"/>
      <c r="C133" s="2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ht="15.75" customHeight="1">
      <c r="A134" s="24"/>
      <c r="B134" s="24"/>
      <c r="C134" s="2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ht="15.75" customHeight="1">
      <c r="A135" s="24"/>
      <c r="B135" s="24"/>
      <c r="C135" s="2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ht="15.75" customHeight="1">
      <c r="A136" s="24"/>
      <c r="B136" s="24"/>
      <c r="C136" s="2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ht="15.75" customHeight="1">
      <c r="A137" s="24"/>
      <c r="B137" s="24"/>
      <c r="C137" s="2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ht="15.75" customHeight="1">
      <c r="A138" s="24"/>
      <c r="B138" s="24"/>
      <c r="C138" s="2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ht="15.75" customHeight="1">
      <c r="A139" s="24"/>
      <c r="B139" s="24"/>
      <c r="C139" s="2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ht="15.75" customHeight="1">
      <c r="A140" s="24"/>
      <c r="B140" s="24"/>
      <c r="C140" s="2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ht="15.75" customHeight="1">
      <c r="A141" s="24"/>
      <c r="B141" s="24"/>
      <c r="C141" s="2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ht="15.75" customHeight="1">
      <c r="A142" s="24"/>
      <c r="B142" s="24"/>
      <c r="C142" s="2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ht="15.75" customHeight="1">
      <c r="A143" s="24"/>
      <c r="B143" s="24"/>
      <c r="C143" s="2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ht="15.75" customHeight="1">
      <c r="A144" s="24"/>
      <c r="B144" s="24"/>
      <c r="C144" s="2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ht="15.75" customHeight="1">
      <c r="A145" s="24"/>
      <c r="B145" s="24"/>
      <c r="C145" s="2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ht="15.75" customHeight="1">
      <c r="A146" s="24"/>
      <c r="B146" s="24"/>
      <c r="C146" s="2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ht="15.75" customHeight="1">
      <c r="A147" s="24"/>
      <c r="B147" s="24"/>
      <c r="C147" s="2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ht="15.75" customHeight="1">
      <c r="A148" s="24"/>
      <c r="B148" s="24"/>
      <c r="C148" s="2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ht="15.75" customHeight="1">
      <c r="A149" s="24"/>
      <c r="B149" s="24"/>
      <c r="C149" s="2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ht="15.75" customHeight="1">
      <c r="A150" s="24"/>
      <c r="B150" s="24"/>
      <c r="C150" s="2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ht="15.75" customHeight="1">
      <c r="A151" s="24"/>
      <c r="B151" s="24"/>
      <c r="C151" s="2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ht="15.75" customHeight="1">
      <c r="A152" s="24"/>
      <c r="B152" s="24"/>
      <c r="C152" s="2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ht="15.75" customHeight="1">
      <c r="A153" s="24"/>
      <c r="B153" s="24"/>
      <c r="C153" s="2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ht="15.75" customHeight="1">
      <c r="A154" s="24"/>
      <c r="B154" s="24"/>
      <c r="C154" s="2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ht="15.75" customHeight="1">
      <c r="A155" s="24"/>
      <c r="B155" s="24"/>
      <c r="C155" s="2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ht="15.75" customHeight="1">
      <c r="A156" s="24"/>
      <c r="B156" s="24"/>
      <c r="C156" s="2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ht="15.75" customHeight="1">
      <c r="A157" s="24"/>
      <c r="B157" s="24"/>
      <c r="C157" s="2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ht="15.75" customHeight="1">
      <c r="A158" s="24"/>
      <c r="B158" s="24"/>
      <c r="C158" s="2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ht="15.75" customHeight="1">
      <c r="A159" s="24"/>
      <c r="B159" s="24"/>
      <c r="C159" s="2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ht="15.75" customHeight="1">
      <c r="A160" s="24"/>
      <c r="B160" s="24"/>
      <c r="C160" s="2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ht="15.75" customHeight="1">
      <c r="A161" s="24"/>
      <c r="B161" s="24"/>
      <c r="C161" s="2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ht="15.75" customHeight="1">
      <c r="A162" s="24"/>
      <c r="B162" s="24"/>
      <c r="C162" s="2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ht="15.75" customHeight="1">
      <c r="A163" s="24"/>
      <c r="B163" s="24"/>
      <c r="C163" s="2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ht="15.75" customHeight="1">
      <c r="A164" s="24"/>
      <c r="B164" s="24"/>
      <c r="C164" s="2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ht="15.75" customHeight="1">
      <c r="A165" s="24"/>
      <c r="B165" s="24"/>
      <c r="C165" s="2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ht="15.75" customHeight="1">
      <c r="A166" s="24"/>
      <c r="B166" s="24"/>
      <c r="C166" s="2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ht="15.75" customHeight="1">
      <c r="A167" s="24"/>
      <c r="B167" s="24"/>
      <c r="C167" s="2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ht="15.75" customHeight="1">
      <c r="A168" s="24"/>
      <c r="B168" s="24"/>
      <c r="C168" s="2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ht="15.75" customHeight="1">
      <c r="A169" s="24"/>
      <c r="B169" s="24"/>
      <c r="C169" s="2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ht="15.75" customHeight="1">
      <c r="A170" s="24"/>
      <c r="B170" s="24"/>
      <c r="C170" s="2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ht="15.75" customHeight="1">
      <c r="A171" s="24"/>
      <c r="B171" s="24"/>
      <c r="C171" s="2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ht="15.75" customHeight="1">
      <c r="A172" s="24"/>
      <c r="B172" s="24"/>
      <c r="C172" s="2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ht="15.75" customHeight="1">
      <c r="A173" s="24"/>
      <c r="B173" s="24"/>
      <c r="C173" s="2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ht="15.75" customHeight="1">
      <c r="A174" s="24"/>
      <c r="B174" s="24"/>
      <c r="C174" s="2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ht="15.75" customHeight="1">
      <c r="A175" s="24"/>
      <c r="B175" s="24"/>
      <c r="C175" s="2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ht="15.75" customHeight="1">
      <c r="A176" s="24"/>
      <c r="B176" s="24"/>
      <c r="C176" s="2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ht="15.75" customHeight="1">
      <c r="A177" s="24"/>
      <c r="B177" s="24"/>
      <c r="C177" s="2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ht="15.75" customHeight="1">
      <c r="A178" s="24"/>
      <c r="B178" s="24"/>
      <c r="C178" s="2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ht="15.75" customHeight="1">
      <c r="A179" s="24"/>
      <c r="B179" s="24"/>
      <c r="C179" s="2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ht="15.75" customHeight="1">
      <c r="A180" s="24"/>
      <c r="B180" s="24"/>
      <c r="C180" s="2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ht="15.75" customHeight="1">
      <c r="A181" s="24"/>
      <c r="B181" s="24"/>
      <c r="C181" s="2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ht="15.75" customHeight="1">
      <c r="A182" s="24"/>
      <c r="B182" s="24"/>
      <c r="C182" s="2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ht="15.75" customHeight="1">
      <c r="A183" s="24"/>
      <c r="B183" s="24"/>
      <c r="C183" s="2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ht="15.75" customHeight="1">
      <c r="A184" s="24"/>
      <c r="B184" s="24"/>
      <c r="C184" s="2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ht="15.75" customHeight="1">
      <c r="A185" s="24"/>
      <c r="B185" s="24"/>
      <c r="C185" s="2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ht="15.75" customHeight="1">
      <c r="A186" s="24"/>
      <c r="B186" s="24"/>
      <c r="C186" s="2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ht="15.75" customHeight="1">
      <c r="A187" s="24"/>
      <c r="B187" s="24"/>
      <c r="C187" s="2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ht="15.75" customHeight="1">
      <c r="A188" s="24"/>
      <c r="B188" s="24"/>
      <c r="C188" s="2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ht="15.75" customHeight="1">
      <c r="A189" s="24"/>
      <c r="B189" s="24"/>
      <c r="C189" s="2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ht="15.75" customHeight="1">
      <c r="A190" s="24"/>
      <c r="B190" s="24"/>
      <c r="C190" s="2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ht="15.75" customHeight="1">
      <c r="A191" s="24"/>
      <c r="B191" s="24"/>
      <c r="C191" s="2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ht="15.75" customHeight="1">
      <c r="A192" s="24"/>
      <c r="B192" s="24"/>
      <c r="C192" s="2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ht="15.75" customHeight="1">
      <c r="A193" s="24"/>
      <c r="B193" s="24"/>
      <c r="C193" s="2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ht="15.75" customHeight="1">
      <c r="A194" s="24"/>
      <c r="B194" s="24"/>
      <c r="C194" s="2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ht="15.75" customHeight="1">
      <c r="A195" s="24"/>
      <c r="B195" s="24"/>
      <c r="C195" s="2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ht="15.75" customHeight="1">
      <c r="A196" s="24"/>
      <c r="B196" s="24"/>
      <c r="C196" s="2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ht="15.75" customHeight="1">
      <c r="A197" s="24"/>
      <c r="B197" s="24"/>
      <c r="C197" s="2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ht="15.75" customHeight="1">
      <c r="A198" s="24"/>
      <c r="B198" s="24"/>
      <c r="C198" s="2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ht="15.75" customHeight="1">
      <c r="A199" s="24"/>
      <c r="B199" s="24"/>
      <c r="C199" s="2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ht="15.75" customHeight="1">
      <c r="A200" s="24"/>
      <c r="B200" s="24"/>
      <c r="C200" s="2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ht="15.75" customHeight="1">
      <c r="A201" s="24"/>
      <c r="B201" s="24"/>
      <c r="C201" s="2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ht="15.75" customHeight="1">
      <c r="A202" s="24"/>
      <c r="B202" s="24"/>
      <c r="C202" s="2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ht="15.75" customHeight="1">
      <c r="A203" s="24"/>
      <c r="B203" s="24"/>
      <c r="C203" s="2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ht="15.75" customHeight="1">
      <c r="A204" s="24"/>
      <c r="B204" s="24"/>
      <c r="C204" s="2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7:B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23.71"/>
    <col customWidth="1" min="3" max="3" width="24.86"/>
    <col customWidth="1" min="4" max="6" width="14.43"/>
  </cols>
  <sheetData>
    <row r="1" ht="15.75" customHeight="1">
      <c r="A1" s="1" t="s">
        <v>0</v>
      </c>
      <c r="B1" s="1" t="s">
        <v>2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69.0" customHeight="1">
      <c r="A2" s="3"/>
      <c r="B2" s="4"/>
      <c r="C2" s="6" t="str">
        <f t="shared" ref="C2:C5" si="1">SUM(A2)/(B2)</f>
        <v>#DIV/0!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ht="15.75" customHeight="1">
      <c r="A3" s="17">
        <v>584400.0</v>
      </c>
      <c r="B3" s="18">
        <v>7384.0</v>
      </c>
      <c r="C3" s="6">
        <f t="shared" si="1"/>
        <v>79.14409534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ht="15.75" customHeight="1">
      <c r="A4" s="17">
        <v>320000.0</v>
      </c>
      <c r="B4" s="18">
        <v>4680.0</v>
      </c>
      <c r="C4" s="6">
        <f t="shared" si="1"/>
        <v>68.37606838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ht="15.75" customHeight="1">
      <c r="A5" s="17">
        <v>275000.0</v>
      </c>
      <c r="B5" s="18">
        <v>5320.0</v>
      </c>
      <c r="C5" s="6">
        <f t="shared" si="1"/>
        <v>51.69172932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ht="15.75" customHeight="1">
      <c r="A6" s="20"/>
      <c r="B6" s="21"/>
      <c r="C6" s="2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ht="15.75" customHeight="1">
      <c r="A7" s="20"/>
      <c r="B7" s="21"/>
      <c r="C7" s="2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ht="15.75" customHeight="1">
      <c r="A8" s="20"/>
      <c r="B8" s="21"/>
      <c r="C8" s="2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ht="15.75" customHeight="1">
      <c r="A9" s="20"/>
      <c r="B9" s="21"/>
      <c r="C9" s="2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ht="15.75" customHeight="1">
      <c r="A10" s="24"/>
      <c r="B10" s="24"/>
      <c r="C10" s="2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ht="15.75" customHeight="1">
      <c r="A11" s="24"/>
      <c r="B11" s="24"/>
      <c r="C11" s="2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ht="15.75" customHeight="1">
      <c r="A12" s="24"/>
      <c r="B12" s="24"/>
      <c r="C12" s="2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ht="15.75" customHeight="1">
      <c r="A13" s="24"/>
      <c r="B13" s="24"/>
      <c r="C13" s="2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ht="15.75" customHeight="1">
      <c r="A14" s="24"/>
      <c r="B14" s="24"/>
      <c r="C14" s="2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ht="15.75" customHeight="1">
      <c r="A15" s="24"/>
      <c r="B15" s="24"/>
      <c r="C15" s="2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ht="15.75" customHeight="1">
      <c r="A16" s="24"/>
      <c r="B16" s="24"/>
      <c r="C16" s="24" t="s">
        <v>29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ht="15.75" customHeight="1">
      <c r="A17" s="24"/>
      <c r="B17" s="24"/>
      <c r="C17" s="2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ht="15.75" customHeight="1">
      <c r="A18" s="24"/>
      <c r="B18" s="24"/>
      <c r="C18" s="2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ht="15.75" customHeight="1">
      <c r="A19" s="24"/>
      <c r="B19" s="24"/>
      <c r="C19" s="2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ht="15.75" customHeight="1">
      <c r="A20" s="24"/>
      <c r="B20" s="24"/>
      <c r="C20" s="2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ht="15.75" customHeight="1">
      <c r="A21" s="24"/>
      <c r="B21" s="24"/>
      <c r="C21" s="2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ht="15.75" customHeight="1">
      <c r="A22" s="24"/>
      <c r="B22" s="24"/>
      <c r="C22" s="2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15.75" customHeight="1">
      <c r="A23" s="24"/>
      <c r="B23" s="24"/>
      <c r="C23" s="2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ht="15.75" customHeight="1">
      <c r="A24" s="24"/>
      <c r="B24" s="24"/>
      <c r="C24" s="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ht="15.75" customHeight="1">
      <c r="A25" s="24"/>
      <c r="B25" s="24"/>
      <c r="C25" s="2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ht="15.75" customHeight="1">
      <c r="A26" s="24"/>
      <c r="B26" s="24"/>
      <c r="C26" s="2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ht="15.75" customHeight="1">
      <c r="A27" s="24"/>
      <c r="B27" s="24"/>
      <c r="C27" s="2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ht="15.75" customHeight="1">
      <c r="A28" s="24"/>
      <c r="B28" s="24"/>
      <c r="C28" s="2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ht="15.75" customHeight="1">
      <c r="A29" s="24"/>
      <c r="B29" s="24"/>
      <c r="C29" s="2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5.75" customHeight="1">
      <c r="A30" s="24"/>
      <c r="B30" s="24"/>
      <c r="C30" s="2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ht="15.75" customHeight="1">
      <c r="A31" s="24"/>
      <c r="B31" s="24"/>
      <c r="C31" s="2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ht="15.75" customHeight="1">
      <c r="A32" s="24"/>
      <c r="B32" s="24"/>
      <c r="C32" s="2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ht="15.75" customHeight="1">
      <c r="A33" s="24"/>
      <c r="B33" s="24"/>
      <c r="C33" s="2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5.75" customHeight="1">
      <c r="A34" s="24"/>
      <c r="B34" s="24"/>
      <c r="C34" s="2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5.75" customHeight="1">
      <c r="A35" s="24"/>
      <c r="B35" s="24"/>
      <c r="C35" s="2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ht="15.75" customHeight="1">
      <c r="A36" s="24"/>
      <c r="B36" s="24"/>
      <c r="C36" s="2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5.75" customHeight="1">
      <c r="A37" s="24"/>
      <c r="B37" s="24"/>
      <c r="C37" s="2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ht="15.75" customHeight="1">
      <c r="A38" s="24"/>
      <c r="B38" s="24"/>
      <c r="C38" s="2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ht="15.75" customHeight="1">
      <c r="A39" s="24"/>
      <c r="B39" s="24"/>
      <c r="C39" s="2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ht="15.75" customHeight="1">
      <c r="A40" s="24"/>
      <c r="B40" s="24"/>
      <c r="C40" s="2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ht="15.75" customHeight="1">
      <c r="A41" s="24"/>
      <c r="B41" s="24"/>
      <c r="C41" s="2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ht="15.75" customHeight="1">
      <c r="A42" s="24"/>
      <c r="B42" s="24"/>
      <c r="C42" s="2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ht="15.75" customHeight="1">
      <c r="A43" s="24"/>
      <c r="B43" s="24"/>
      <c r="C43" s="2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5.75" customHeight="1">
      <c r="A44" s="24"/>
      <c r="B44" s="24"/>
      <c r="C44" s="2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75" customHeight="1">
      <c r="A45" s="24"/>
      <c r="B45" s="24"/>
      <c r="C45" s="2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ht="15.75" customHeight="1">
      <c r="A46" s="24"/>
      <c r="B46" s="24"/>
      <c r="C46" s="2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ht="15.75" customHeight="1">
      <c r="A47" s="24"/>
      <c r="B47" s="24"/>
      <c r="C47" s="2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ht="15.75" customHeight="1">
      <c r="A48" s="24"/>
      <c r="B48" s="24"/>
      <c r="C48" s="2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ht="15.75" customHeight="1">
      <c r="A49" s="24"/>
      <c r="B49" s="24"/>
      <c r="C49" s="2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ht="15.75" customHeight="1">
      <c r="A50" s="24"/>
      <c r="B50" s="24"/>
      <c r="C50" s="2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ht="15.75" customHeight="1">
      <c r="A51" s="24"/>
      <c r="B51" s="24"/>
      <c r="C51" s="2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ht="15.75" customHeight="1">
      <c r="A52" s="24"/>
      <c r="B52" s="24"/>
      <c r="C52" s="2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ht="15.75" customHeight="1">
      <c r="A53" s="24"/>
      <c r="B53" s="24"/>
      <c r="C53" s="2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5.75" customHeight="1">
      <c r="A54" s="24"/>
      <c r="B54" s="24"/>
      <c r="C54" s="2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ht="15.75" customHeight="1">
      <c r="A55" s="24"/>
      <c r="B55" s="24"/>
      <c r="C55" s="2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ht="15.75" customHeight="1">
      <c r="A56" s="24"/>
      <c r="B56" s="24"/>
      <c r="C56" s="2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ht="15.75" customHeight="1">
      <c r="A57" s="24"/>
      <c r="B57" s="24"/>
      <c r="C57" s="2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ht="15.75" customHeight="1">
      <c r="A58" s="24"/>
      <c r="B58" s="24"/>
      <c r="C58" s="2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ht="15.75" customHeight="1">
      <c r="A59" s="24"/>
      <c r="B59" s="24"/>
      <c r="C59" s="2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ht="15.75" customHeight="1">
      <c r="A60" s="24"/>
      <c r="B60" s="24"/>
      <c r="C60" s="2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ht="15.75" customHeight="1">
      <c r="A61" s="24"/>
      <c r="B61" s="24"/>
      <c r="C61" s="2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ht="15.75" customHeight="1">
      <c r="A62" s="24"/>
      <c r="B62" s="24"/>
      <c r="C62" s="2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75" customHeight="1">
      <c r="A63" s="24"/>
      <c r="B63" s="24"/>
      <c r="C63" s="2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ht="15.75" customHeight="1">
      <c r="A64" s="24"/>
      <c r="B64" s="24"/>
      <c r="C64" s="2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ht="15.75" customHeight="1">
      <c r="A65" s="24"/>
      <c r="B65" s="24"/>
      <c r="C65" s="2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ht="15.75" customHeight="1">
      <c r="A66" s="24"/>
      <c r="B66" s="24"/>
      <c r="C66" s="2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ht="15.75" customHeight="1">
      <c r="A67" s="24"/>
      <c r="B67" s="24"/>
      <c r="C67" s="2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ht="15.75" customHeight="1">
      <c r="A68" s="24"/>
      <c r="B68" s="24"/>
      <c r="C68" s="2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5.75" customHeight="1">
      <c r="A69" s="24"/>
      <c r="B69" s="24"/>
      <c r="C69" s="2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5.75" customHeight="1">
      <c r="A70" s="24"/>
      <c r="B70" s="24"/>
      <c r="C70" s="2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ht="15.75" customHeight="1">
      <c r="A71" s="24"/>
      <c r="B71" s="24"/>
      <c r="C71" s="2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ht="15.75" customHeight="1">
      <c r="A72" s="24"/>
      <c r="B72" s="24"/>
      <c r="C72" s="2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ht="15.75" customHeight="1">
      <c r="A73" s="24"/>
      <c r="B73" s="24"/>
      <c r="C73" s="2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ht="15.75" customHeight="1">
      <c r="A74" s="24"/>
      <c r="B74" s="24"/>
      <c r="C74" s="2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75" customHeight="1">
      <c r="A75" s="24"/>
      <c r="B75" s="24"/>
      <c r="C75" s="2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5.75" customHeight="1">
      <c r="A76" s="24"/>
      <c r="B76" s="24"/>
      <c r="C76" s="2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75" customHeight="1">
      <c r="A77" s="24"/>
      <c r="B77" s="24"/>
      <c r="C77" s="2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ht="15.75" customHeight="1">
      <c r="A78" s="24"/>
      <c r="B78" s="24"/>
      <c r="C78" s="2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ht="15.75" customHeight="1">
      <c r="A79" s="24"/>
      <c r="B79" s="24"/>
      <c r="C79" s="2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ht="15.75" customHeight="1">
      <c r="A80" s="24"/>
      <c r="B80" s="24"/>
      <c r="C80" s="2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ht="15.75" customHeight="1">
      <c r="A81" s="24"/>
      <c r="B81" s="24"/>
      <c r="C81" s="2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ht="15.75" customHeight="1">
      <c r="A82" s="24"/>
      <c r="B82" s="24"/>
      <c r="C82" s="2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ht="15.75" customHeight="1">
      <c r="A83" s="24"/>
      <c r="B83" s="24"/>
      <c r="C83" s="2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ht="15.75" customHeight="1">
      <c r="A84" s="24"/>
      <c r="B84" s="24"/>
      <c r="C84" s="2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ht="15.75" customHeight="1">
      <c r="A85" s="24"/>
      <c r="B85" s="24"/>
      <c r="C85" s="2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5.75" customHeight="1">
      <c r="A86" s="24"/>
      <c r="B86" s="24"/>
      <c r="C86" s="2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ht="15.75" customHeight="1">
      <c r="A87" s="24"/>
      <c r="B87" s="24"/>
      <c r="C87" s="2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ht="15.75" customHeight="1">
      <c r="A88" s="24"/>
      <c r="B88" s="24"/>
      <c r="C88" s="2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ht="15.75" customHeight="1">
      <c r="A89" s="24"/>
      <c r="B89" s="24"/>
      <c r="C89" s="2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ht="15.75" customHeight="1">
      <c r="A90" s="24"/>
      <c r="B90" s="24"/>
      <c r="C90" s="2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ht="15.75" customHeight="1">
      <c r="A91" s="24"/>
      <c r="B91" s="24"/>
      <c r="C91" s="2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ht="15.75" customHeight="1">
      <c r="A92" s="24"/>
      <c r="B92" s="24"/>
      <c r="C92" s="2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ht="15.75" customHeight="1">
      <c r="A93" s="24"/>
      <c r="B93" s="24"/>
      <c r="C93" s="2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ht="15.75" customHeight="1">
      <c r="A94" s="24"/>
      <c r="B94" s="24"/>
      <c r="C94" s="2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ht="15.75" customHeight="1">
      <c r="A95" s="24"/>
      <c r="B95" s="24"/>
      <c r="C95" s="2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ht="15.75" customHeight="1">
      <c r="A96" s="24"/>
      <c r="B96" s="24"/>
      <c r="C96" s="2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ht="15.75" customHeight="1">
      <c r="A97" s="24"/>
      <c r="B97" s="24"/>
      <c r="C97" s="2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ht="15.75" customHeight="1">
      <c r="A98" s="24"/>
      <c r="B98" s="24"/>
      <c r="C98" s="2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ht="15.75" customHeight="1">
      <c r="A99" s="24"/>
      <c r="B99" s="24"/>
      <c r="C99" s="2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ht="15.75" customHeight="1">
      <c r="A100" s="24"/>
      <c r="B100" s="24"/>
      <c r="C100" s="2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ht="15.75" customHeight="1">
      <c r="A101" s="24"/>
      <c r="B101" s="24"/>
      <c r="C101" s="2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ht="15.75" customHeight="1">
      <c r="A102" s="24"/>
      <c r="B102" s="24"/>
      <c r="C102" s="2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ht="15.75" customHeight="1">
      <c r="A103" s="24"/>
      <c r="B103" s="24"/>
      <c r="C103" s="2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ht="15.75" customHeight="1">
      <c r="A104" s="24"/>
      <c r="B104" s="24"/>
      <c r="C104" s="2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ht="15.75" customHeight="1">
      <c r="A105" s="24"/>
      <c r="B105" s="24"/>
      <c r="C105" s="2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ht="15.75" customHeight="1">
      <c r="A106" s="24"/>
      <c r="B106" s="24"/>
      <c r="C106" s="2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ht="15.75" customHeight="1">
      <c r="A107" s="24"/>
      <c r="B107" s="24"/>
      <c r="C107" s="2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15.75" customHeight="1">
      <c r="A108" s="24"/>
      <c r="B108" s="24"/>
      <c r="C108" s="2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ht="15.75" customHeight="1">
      <c r="A109" s="24"/>
      <c r="B109" s="24"/>
      <c r="C109" s="2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ht="15.75" customHeight="1">
      <c r="A110" s="24"/>
      <c r="B110" s="24"/>
      <c r="C110" s="2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ht="15.75" customHeight="1">
      <c r="A111" s="24"/>
      <c r="B111" s="24"/>
      <c r="C111" s="2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ht="15.75" customHeight="1">
      <c r="A112" s="24"/>
      <c r="B112" s="24"/>
      <c r="C112" s="2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ht="15.75" customHeight="1">
      <c r="A113" s="24"/>
      <c r="B113" s="24"/>
      <c r="C113" s="2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ht="15.75" customHeight="1">
      <c r="A114" s="24"/>
      <c r="B114" s="24"/>
      <c r="C114" s="2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ht="15.75" customHeight="1">
      <c r="A115" s="24"/>
      <c r="B115" s="24"/>
      <c r="C115" s="2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15.75" customHeight="1">
      <c r="A116" s="24"/>
      <c r="B116" s="24"/>
      <c r="C116" s="2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ht="15.75" customHeight="1">
      <c r="A117" s="24"/>
      <c r="B117" s="24"/>
      <c r="C117" s="2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ht="15.75" customHeight="1">
      <c r="A118" s="24"/>
      <c r="B118" s="24"/>
      <c r="C118" s="2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ht="15.75" customHeight="1">
      <c r="A119" s="24"/>
      <c r="B119" s="24"/>
      <c r="C119" s="2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ht="15.75" customHeight="1">
      <c r="A120" s="24"/>
      <c r="B120" s="24"/>
      <c r="C120" s="2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75" customHeight="1">
      <c r="A121" s="24"/>
      <c r="B121" s="24"/>
      <c r="C121" s="2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15.75" customHeight="1">
      <c r="A122" s="24"/>
      <c r="B122" s="24"/>
      <c r="C122" s="2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ht="15.75" customHeight="1">
      <c r="A123" s="24"/>
      <c r="B123" s="24"/>
      <c r="C123" s="2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ht="15.75" customHeight="1">
      <c r="A124" s="24"/>
      <c r="B124" s="24"/>
      <c r="C124" s="2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ht="15.75" customHeight="1">
      <c r="A125" s="24"/>
      <c r="B125" s="24"/>
      <c r="C125" s="2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ht="15.75" customHeight="1">
      <c r="A126" s="24"/>
      <c r="B126" s="24"/>
      <c r="C126" s="2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15.75" customHeight="1">
      <c r="A127" s="24"/>
      <c r="B127" s="24"/>
      <c r="C127" s="2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15.75" customHeight="1">
      <c r="A128" s="24"/>
      <c r="B128" s="24"/>
      <c r="C128" s="2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ht="15.75" customHeight="1">
      <c r="A129" s="24"/>
      <c r="B129" s="24"/>
      <c r="C129" s="2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ht="15.75" customHeight="1">
      <c r="A130" s="24"/>
      <c r="B130" s="24"/>
      <c r="C130" s="2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ht="15.75" customHeight="1">
      <c r="A131" s="24"/>
      <c r="B131" s="24"/>
      <c r="C131" s="2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ht="15.75" customHeight="1">
      <c r="A132" s="24"/>
      <c r="B132" s="24"/>
      <c r="C132" s="2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ht="15.75" customHeight="1">
      <c r="A133" s="24"/>
      <c r="B133" s="24"/>
      <c r="C133" s="2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ht="15.75" customHeight="1">
      <c r="A134" s="24"/>
      <c r="B134" s="24"/>
      <c r="C134" s="2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ht="15.75" customHeight="1">
      <c r="A135" s="24"/>
      <c r="B135" s="24"/>
      <c r="C135" s="2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ht="15.75" customHeight="1">
      <c r="A136" s="24"/>
      <c r="B136" s="24"/>
      <c r="C136" s="2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ht="15.75" customHeight="1">
      <c r="A137" s="24"/>
      <c r="B137" s="24"/>
      <c r="C137" s="2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ht="15.75" customHeight="1">
      <c r="A138" s="24"/>
      <c r="B138" s="24"/>
      <c r="C138" s="2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 ht="15.75" customHeight="1">
      <c r="A139" s="24"/>
      <c r="B139" s="24"/>
      <c r="C139" s="2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 ht="15.75" customHeight="1">
      <c r="A140" s="24"/>
      <c r="B140" s="24"/>
      <c r="C140" s="2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 ht="15.75" customHeight="1">
      <c r="A141" s="24"/>
      <c r="B141" s="24"/>
      <c r="C141" s="2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ht="15.75" customHeight="1">
      <c r="A142" s="24"/>
      <c r="B142" s="24"/>
      <c r="C142" s="2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ht="15.75" customHeight="1">
      <c r="A143" s="24"/>
      <c r="B143" s="24"/>
      <c r="C143" s="2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ht="15.75" customHeight="1">
      <c r="A144" s="24"/>
      <c r="B144" s="24"/>
      <c r="C144" s="2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ht="15.75" customHeight="1">
      <c r="A145" s="24"/>
      <c r="B145" s="24"/>
      <c r="C145" s="2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ht="15.75" customHeight="1">
      <c r="A146" s="24"/>
      <c r="B146" s="24"/>
      <c r="C146" s="2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ht="15.75" customHeight="1">
      <c r="A147" s="24"/>
      <c r="B147" s="24"/>
      <c r="C147" s="2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ht="15.75" customHeight="1">
      <c r="A148" s="24"/>
      <c r="B148" s="24"/>
      <c r="C148" s="2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ht="15.75" customHeight="1">
      <c r="A149" s="24"/>
      <c r="B149" s="24"/>
      <c r="C149" s="2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ht="15.75" customHeight="1">
      <c r="A150" s="24"/>
      <c r="B150" s="24"/>
      <c r="C150" s="2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 ht="15.75" customHeight="1">
      <c r="A151" s="24"/>
      <c r="B151" s="24"/>
      <c r="C151" s="2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 ht="15.75" customHeight="1">
      <c r="A152" s="24"/>
      <c r="B152" s="24"/>
      <c r="C152" s="2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 ht="15.75" customHeight="1">
      <c r="A153" s="24"/>
      <c r="B153" s="24"/>
      <c r="C153" s="2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 ht="15.75" customHeight="1">
      <c r="A154" s="24"/>
      <c r="B154" s="24"/>
      <c r="C154" s="2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 ht="15.75" customHeight="1">
      <c r="A155" s="24"/>
      <c r="B155" s="24"/>
      <c r="C155" s="2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ht="15.75" customHeight="1">
      <c r="A156" s="24"/>
      <c r="B156" s="24"/>
      <c r="C156" s="2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ht="15.75" customHeight="1">
      <c r="A157" s="24"/>
      <c r="B157" s="24"/>
      <c r="C157" s="2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</row>
    <row r="158" ht="15.75" customHeight="1">
      <c r="A158" s="24"/>
      <c r="B158" s="24"/>
      <c r="C158" s="2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 ht="15.75" customHeight="1">
      <c r="A159" s="24"/>
      <c r="B159" s="24"/>
      <c r="C159" s="2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ht="15.75" customHeight="1">
      <c r="A160" s="24"/>
      <c r="B160" s="24"/>
      <c r="C160" s="2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 ht="15.75" customHeight="1">
      <c r="A161" s="24"/>
      <c r="B161" s="24"/>
      <c r="C161" s="2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 ht="15.75" customHeight="1">
      <c r="A162" s="24"/>
      <c r="B162" s="24"/>
      <c r="C162" s="2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ht="15.75" customHeight="1">
      <c r="A163" s="24"/>
      <c r="B163" s="24"/>
      <c r="C163" s="2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 ht="15.75" customHeight="1">
      <c r="A164" s="24"/>
      <c r="B164" s="24"/>
      <c r="C164" s="2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ht="15.75" customHeight="1">
      <c r="A165" s="24"/>
      <c r="B165" s="24"/>
      <c r="C165" s="2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ht="15.75" customHeight="1">
      <c r="A166" s="24"/>
      <c r="B166" s="24"/>
      <c r="C166" s="2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ht="15.75" customHeight="1">
      <c r="A167" s="24"/>
      <c r="B167" s="24"/>
      <c r="C167" s="2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</row>
    <row r="168" ht="15.75" customHeight="1">
      <c r="A168" s="24"/>
      <c r="B168" s="24"/>
      <c r="C168" s="2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</row>
    <row r="169" ht="15.75" customHeight="1">
      <c r="A169" s="24"/>
      <c r="B169" s="24"/>
      <c r="C169" s="2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 ht="15.75" customHeight="1">
      <c r="A170" s="24"/>
      <c r="B170" s="24"/>
      <c r="C170" s="2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 ht="15.75" customHeight="1">
      <c r="A171" s="24"/>
      <c r="B171" s="24"/>
      <c r="C171" s="2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 ht="15.75" customHeight="1">
      <c r="A172" s="24"/>
      <c r="B172" s="24"/>
      <c r="C172" s="2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ht="15.75" customHeight="1">
      <c r="A173" s="24"/>
      <c r="B173" s="24"/>
      <c r="C173" s="2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 ht="15.75" customHeight="1">
      <c r="A174" s="24"/>
      <c r="B174" s="24"/>
      <c r="C174" s="2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 ht="15.75" customHeight="1">
      <c r="A175" s="24"/>
      <c r="B175" s="24"/>
      <c r="C175" s="2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ht="15.75" customHeight="1">
      <c r="A176" s="24"/>
      <c r="B176" s="24"/>
      <c r="C176" s="2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ht="15.75" customHeight="1">
      <c r="A177" s="24"/>
      <c r="B177" s="24"/>
      <c r="C177" s="2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 ht="15.75" customHeight="1">
      <c r="A178" s="24"/>
      <c r="B178" s="24"/>
      <c r="C178" s="2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ht="15.75" customHeight="1">
      <c r="A179" s="24"/>
      <c r="B179" s="24"/>
      <c r="C179" s="2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 ht="15.75" customHeight="1">
      <c r="A180" s="24"/>
      <c r="B180" s="24"/>
      <c r="C180" s="2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 ht="15.75" customHeight="1">
      <c r="A181" s="24"/>
      <c r="B181" s="24"/>
      <c r="C181" s="2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ht="15.75" customHeight="1">
      <c r="A182" s="24"/>
      <c r="B182" s="24"/>
      <c r="C182" s="2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ht="15.75" customHeight="1">
      <c r="A183" s="24"/>
      <c r="B183" s="24"/>
      <c r="C183" s="2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ht="15.75" customHeight="1">
      <c r="A184" s="24"/>
      <c r="B184" s="24"/>
      <c r="C184" s="2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 ht="15.75" customHeight="1">
      <c r="A185" s="24"/>
      <c r="B185" s="24"/>
      <c r="C185" s="2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ht="15.75" customHeight="1">
      <c r="A186" s="24"/>
      <c r="B186" s="24"/>
      <c r="C186" s="2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 ht="15.75" customHeight="1">
      <c r="A187" s="24"/>
      <c r="B187" s="24"/>
      <c r="C187" s="2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 ht="15.75" customHeight="1">
      <c r="A188" s="24"/>
      <c r="B188" s="24"/>
      <c r="C188" s="2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ht="15.75" customHeight="1">
      <c r="A189" s="24"/>
      <c r="B189" s="24"/>
      <c r="C189" s="2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 ht="15.75" customHeight="1">
      <c r="A190" s="24"/>
      <c r="B190" s="24"/>
      <c r="C190" s="2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ht="15.75" customHeight="1">
      <c r="A191" s="24"/>
      <c r="B191" s="24"/>
      <c r="C191" s="2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 ht="15.75" customHeight="1">
      <c r="A192" s="24"/>
      <c r="B192" s="24"/>
      <c r="C192" s="2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 ht="15.75" customHeight="1">
      <c r="A193" s="24"/>
      <c r="B193" s="24"/>
      <c r="C193" s="2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ht="15.75" customHeight="1">
      <c r="A194" s="24"/>
      <c r="B194" s="24"/>
      <c r="C194" s="2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 ht="15.75" customHeight="1">
      <c r="A195" s="24"/>
      <c r="B195" s="24"/>
      <c r="C195" s="2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 ht="15.75" customHeight="1">
      <c r="A196" s="24"/>
      <c r="B196" s="24"/>
      <c r="C196" s="2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ht="15.75" customHeight="1">
      <c r="A197" s="24"/>
      <c r="B197" s="24"/>
      <c r="C197" s="2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 ht="15.75" customHeight="1">
      <c r="A198" s="24"/>
      <c r="B198" s="24"/>
      <c r="C198" s="2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  <row r="199" ht="15.75" customHeight="1">
      <c r="A199" s="24"/>
      <c r="B199" s="24"/>
      <c r="C199" s="2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 ht="15.75" customHeight="1">
      <c r="A200" s="24"/>
      <c r="B200" s="24"/>
      <c r="C200" s="2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</row>
    <row r="201" ht="15.75" customHeight="1">
      <c r="A201" s="24"/>
      <c r="B201" s="24"/>
      <c r="C201" s="2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